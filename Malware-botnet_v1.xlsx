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in/Downloads/Cybersecurity-2/"/>
    </mc:Choice>
  </mc:AlternateContent>
  <xr:revisionPtr revIDLastSave="0" documentId="13_ncr:1_{CE1D8074-86EC-D345-9890-D5448E29406A}" xr6:coauthVersionLast="47" xr6:coauthVersionMax="47" xr10:uidLastSave="{00000000-0000-0000-0000-000000000000}"/>
  <bookViews>
    <workbookView xWindow="8100" yWindow="11280" windowWidth="25260" windowHeight="15500" activeTab="5" xr2:uid="{5C2B4C94-083E-C14F-8E79-B330F0BCE8BD}"/>
  </bookViews>
  <sheets>
    <sheet name="Samples" sheetId="3" r:id="rId1"/>
    <sheet name="Familias" sheetId="1" r:id="rId2"/>
    <sheet name="Datasets" sheetId="7" r:id="rId3"/>
    <sheet name="URLs" sheetId="2" r:id="rId4"/>
    <sheet name="Papers" sheetId="4" r:id="rId5"/>
    <sheet name="86 con LLM" sheetId="8" r:id="rId6"/>
    <sheet name="Estadisticas" sheetId="9" r:id="rId7"/>
  </sheets>
  <definedNames>
    <definedName name="_xlchart.v1.0" hidden="1">Estadisticas!$C$5</definedName>
    <definedName name="_xlchart.v1.1" hidden="1">Estadisticas!$C$6:$C$32</definedName>
    <definedName name="_xlchart.v1.2" hidden="1">Estadisticas!$D$5</definedName>
    <definedName name="_xlchart.v1.3" hidden="1">Estadisticas!$D$6:$D$32</definedName>
    <definedName name="_xlchart.v1.4" hidden="1">Estadisticas!$C$5</definedName>
    <definedName name="_xlchart.v1.5" hidden="1">Estadisticas!$C$6:$C$32</definedName>
    <definedName name="_xlchart.v1.6" hidden="1">Estadisticas!$D$5</definedName>
    <definedName name="_xlchart.v1.7" hidden="1">Estadisticas!$D$6:$D$32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J5" i="3"/>
  <c r="H5" i="3"/>
</calcChain>
</file>

<file path=xl/sharedStrings.xml><?xml version="1.0" encoding="utf-8"?>
<sst xmlns="http://schemas.openxmlformats.org/spreadsheetml/2006/main" count="413" uniqueCount="260">
  <si>
    <t>No</t>
  </si>
  <si>
    <t>Nombre</t>
  </si>
  <si>
    <t>Descripcion</t>
  </si>
  <si>
    <t>URL</t>
  </si>
  <si>
    <t>Online</t>
  </si>
  <si>
    <t>Offline</t>
  </si>
  <si>
    <t>VirusTotal</t>
  </si>
  <si>
    <t>Tipo / Familia</t>
  </si>
  <si>
    <t>SHA26</t>
  </si>
  <si>
    <t>Año</t>
  </si>
  <si>
    <t>https://virusshare.com/file?</t>
  </si>
  <si>
    <t>https://www.virustotal.com/gui/file/</t>
  </si>
  <si>
    <t>URLs con información</t>
  </si>
  <si>
    <t>IEEE</t>
  </si>
  <si>
    <t>No existe</t>
  </si>
  <si>
    <t>VirusShare</t>
  </si>
  <si>
    <t>Papers sobre el malware</t>
  </si>
  <si>
    <t>Familias del malware</t>
  </si>
  <si>
    <t>Botnet</t>
  </si>
  <si>
    <t>Stuxnet</t>
  </si>
  <si>
    <t>Mirai</t>
  </si>
  <si>
    <t>https://www.cyber.nj.gov/threat-landscape/malware/botnets/mirai</t>
  </si>
  <si>
    <t>Bashlite</t>
  </si>
  <si>
    <t>ADB.Miner</t>
  </si>
  <si>
    <t>Mozi</t>
  </si>
  <si>
    <t>Necurs</t>
  </si>
  <si>
    <t>Reaper (IoTroop)</t>
  </si>
  <si>
    <t>Echobot</t>
  </si>
  <si>
    <t>Emotet</t>
  </si>
  <si>
    <t>Gamut</t>
  </si>
  <si>
    <t>https://ieee-dataport.org/documents/nss-mirai-dataset</t>
  </si>
  <si>
    <t>Origen</t>
  </si>
  <si>
    <t>Datasets</t>
  </si>
  <si>
    <t>Papers</t>
  </si>
  <si>
    <t>https://www.mdpi.com/2079-9292/14/21/4196</t>
  </si>
  <si>
    <t>https://www.stratosphereips.org/datasets-iot23</t>
  </si>
  <si>
    <t>stratosphere</t>
  </si>
  <si>
    <t>https://www.kaggle.com/code/kottunaana/malicious-mirai-iot-classification</t>
  </si>
  <si>
    <t>Kaggle</t>
  </si>
  <si>
    <t>https://cs.taltech.ee/research/data/medbiot/</t>
  </si>
  <si>
    <t>TalTech</t>
  </si>
  <si>
    <t>https://www.unb.ca/cic/datasets/iotdataset-2023.html</t>
  </si>
  <si>
    <t>CIC</t>
  </si>
  <si>
    <t>Satori</t>
  </si>
  <si>
    <t>Owari, Sora</t>
  </si>
  <si>
    <t>Okiru</t>
  </si>
  <si>
    <t>Masuta, PureMasuta</t>
  </si>
  <si>
    <t>Qbot</t>
  </si>
  <si>
    <t>Lightaidra</t>
  </si>
  <si>
    <t>TheMoon</t>
  </si>
  <si>
    <t>LuaBot</t>
  </si>
  <si>
    <t>Persirai</t>
  </si>
  <si>
    <t>Imeij</t>
  </si>
  <si>
    <t>Torii</t>
  </si>
  <si>
    <t>Carna</t>
  </si>
  <si>
    <t>Wifatch</t>
  </si>
  <si>
    <t>Hajime</t>
  </si>
  <si>
    <t>BrickerBot</t>
  </si>
  <si>
    <t>https://bazaar.abuse.ch/</t>
  </si>
  <si>
    <t>Buscar y descargar de aquí nuevas muestras</t>
  </si>
  <si>
    <t>Bazaar</t>
  </si>
  <si>
    <t>Hash (IoC)</t>
  </si>
  <si>
    <t>URL de Descarga</t>
  </si>
  <si>
    <t>https://bazaar.abuse.ch/sample/6950f28382d7f11e18bdf53f3983117b/ </t>
  </si>
  <si>
    <t>https://bazaar.abuse.ch/sample/8ecafda00f1f5e5f8e94a10bb94d79b3/ </t>
  </si>
  <si>
    <t>https://bazaar.abuse.ch/sample/c6f057c974b24f6abdac5b76b10040b9/ </t>
  </si>
  <si>
    <t>https://bazaar.abuse.ch/sample/ce6b524db5612552294b5661effed7bd/ </t>
  </si>
  <si>
    <t>https://bazaar.abuse.ch/sample/6cd85642bc8cedc2a4b0611aaf2ace54/ </t>
  </si>
  <si>
    <t>https://bazaar.abuse.ch/sample/a8f0b7b152bbc81b670c3eae7171347c/ </t>
  </si>
  <si>
    <t>https://bazaar.abuse.ch/sample/c8804b6bae332311c4d2133e6b6bf038d8a50493/ </t>
  </si>
  <si>
    <t>https://bazaar.abuse.ch/sample/707ca8053337ef21baa01939b979d3a192b013ec473d8d37ce05122335208dff/ </t>
  </si>
  <si>
    <t>https://bazaar.abuse.ch/sample/2d6181464e5fd1e4212e6f4162a87421/ </t>
  </si>
  <si>
    <t>https://bazaar.abuse.ch/sample/2f119b78949fed3518bfe32dfc5d3f37de1c164f/ </t>
  </si>
  <si>
    <t>https://bazaar.abuse.ch/sample/0b625b19f44fcf0d5d279b91e1a31797e05822bcecebf5eb89f34fd54e7b943a/ </t>
  </si>
  <si>
    <t>https://bazaar.abuse.ch/sample/afce27c7adfd3dcd3b16f6c54e2e44db/ </t>
  </si>
  <si>
    <t>https://bazaar.abuse.ch/sample/660226480eab0d1418833d3f68ff9c63/ </t>
  </si>
  <si>
    <t>https://bazaar.abuse.ch/sample/c273f287456d016e70f2dad586631be8/ </t>
  </si>
  <si>
    <t>https://bazaar.abuse.ch/sample/56b6c723af4c943d01715c62f555c23f84351a36/ </t>
  </si>
  <si>
    <t>https://bazaar.abuse.ch/sample/f6c1377021b5081f09331d772f82a1233adc8745/ </t>
  </si>
  <si>
    <t>https://bazaar.abuse.ch/sample/1362f231fea469d8e10b7f1d296420298ad12ce4/ </t>
  </si>
  <si>
    <t>https://bazaar.abuse.ch/sample/6203f7c2020fa458e3fbb65f1eaf48198354b3cf1c49ba848c8e11e8662fc2d4/ </t>
  </si>
  <si>
    <t>https://bazaar.abuse.ch/sample/c60234225b600cea6fa0525a2507218454eeafd0376a9b47b755459edfc35c4f/ </t>
  </si>
  <si>
    <t>https://bazaar.abuse.ch/sample/6ef4996c767182ee28ad87dd18f48015c6b84edb2017b12c1fc0365f7465175e/ </t>
  </si>
  <si>
    <t>https://bazaar.abuse.ch/sample/092b83eb993f591082d9fcfebdb3b7ccc727087e9f7573530c7b028a6bfc820e/ </t>
  </si>
  <si>
    <t>https://bazaar.abuse.ch/sample/4eb6e61578f0e958502fdc6646ec40878ae0006c3033c50219181796e686311e/ </t>
  </si>
  <si>
    <t>https://bazaar.abuse.ch/sample/2238c81031ca78f4df121c94e1fca5368099b6003c30fef83768fef65ce09e9f/</t>
  </si>
  <si>
    <t>https://bazaar.abuse.ch/sample/65de6303edb13128c26b34b3d3f1a5b78f19302f0c3822b5f82573c045d96c78/</t>
  </si>
  <si>
    <t>https://bazaar.abuse.ch/sample/c483618671766847fc75ea79fdc201df2e4a93f501dc98ec9c6f283fb1d4336c/</t>
  </si>
  <si>
    <t>https://bazaar.abuse.ch/sample/930486713426db5072600c504427ea37f108ee2cee7c7c289866164a83f3f356/</t>
  </si>
  <si>
    <t>https://bazaar.abuse.ch/sample/c61bf95146c68bfbbe01d7695337ed0e93ea759f59f651799f07eecdb339f83f/</t>
  </si>
  <si>
    <t>https://bazaar.abuse.ch/sample/1bf953862e0ba56144f3469a7915d9e25737a7a75d4d8e64753c9e4ecac96cfc/</t>
  </si>
  <si>
    <t>https://bazaar.abuse.ch/sample/d9573c3850e2ae35f371df977fc3e5282a5e67db8e3274fd7818e8273fd5c892/</t>
  </si>
  <si>
    <t>https://bazaar.abuse.ch/sample/575bae4df8b775e9a25b5d207f2f3a4c33291bde65dde7b773127447b6b24ca6/</t>
  </si>
  <si>
    <t>https://bazaar.abuse.ch/sample/fb713ccf839362bf0fbe01aedd6796f4d74521b133011b408e42c1fd9ab8246b/</t>
  </si>
  <si>
    <t>https://bazaar.abuse.ch/sample/42b31ef1b8659732d4ef9bac971da465775d0295a97c94b2cf8a5d6d017b08b5/</t>
  </si>
  <si>
    <t>https://bazaar.abuse.ch/sample/d3451e77530fe71355ebcaaa440fc16a6d1f01e08b9586b00b36ee9936c6430f/</t>
  </si>
  <si>
    <t>https://bazaar.abuse.ch/sample/1c7ef16e6933c320cbf6fe43f1e988765d6cf4b8dbb827f02a8f59dd4245514e/</t>
  </si>
  <si>
    <t>https://bazaar.abuse.ch/sample/0a6c6d1b3e8db37a621aad7fba82501c79cd473b146144af7e54a4bfcccc0ff6/</t>
  </si>
  <si>
    <t>https://bazaar.abuse.ch/sample/d8906512c00fcc101ea306fd8e8931575eb4814d4cfb02c60ed55df5886e1f74/</t>
  </si>
  <si>
    <t>https://bazaar.abuse.ch/sample/475c3fbef19fca4c279dcff28d42b8f7cac1bcfc6c11404c5e8970a5f02356e0/</t>
  </si>
  <si>
    <t>https://bazaar.abuse.ch/sample/63da34a4e5f218c6e0c25d3669ca5e47e722a821ee2037cb1acb5938ac3c5a42/</t>
  </si>
  <si>
    <t>https://bazaar.abuse.ch/sample/de757ba246608e0f391562eaa3226c39f5cf5b06d4182fabf126b378e22bd8ad/</t>
  </si>
  <si>
    <t>https://bazaar.abuse.ch/sample/90bfcf1f87b988bcd05005367ebe586fb6b4ff1a93eafea1d16e589a159027e8/</t>
  </si>
  <si>
    <t>https://bazaar.abuse.ch/sample/0a5d9ec781014c71d3a438c14290febb763ec531c8f9f482cab1be3c8df1e34b/</t>
  </si>
  <si>
    <t>https://bazaar.abuse.ch/sample/73df0680af71117ce1f90bac635d5a3c0a8153c8da2b60fe0ba3be12d58dd2d7/</t>
  </si>
  <si>
    <t>https://bazaar.abuse.ch/sample/167fd529c3be47e024f3537a33df7c569f963c6dcb45c3a1df2cc62f61e77297/</t>
  </si>
  <si>
    <t>https://bazaar.abuse.ch/sample/5d4e46b3510679dc49ce295b7f448cd69e952d80ba1450f6800be074992b07cc/</t>
  </si>
  <si>
    <t>https://bazaar.abuse.ch/sample/1fce697993690d41f75e0e6ed522df49d73a038f7e02733ec239c835579c40bf/</t>
  </si>
  <si>
    <t>https://bazaar.abuse.ch/sample/ff47ff97021c27c058bbbdcd9d327b9926e02e48145a4c6ea2abfdb036d99255/</t>
  </si>
  <si>
    <t>https://bazaar.abuse.ch/sample/98d4cdd25423df16a7d6e821f44fb90b50a551c851c2f494cbdaab5c96693049/</t>
  </si>
  <si>
    <t>https://bazaar.abuse.ch/sample/d6e3b403f916ee188b457d135d00ba1b972f22998dc3ffbbbf9710002a9a0bd9/</t>
  </si>
  <si>
    <t>https://bazaar.abuse.ch/sample/2548d997fcc8f32e2aa9605e730af81dc18a03b2108971147f0d305b845eb03f/</t>
  </si>
  <si>
    <t>https://bazaar.abuse.ch/sample/97dd9e460f3946eb0b89ae81a0c3890f529ed47f8bd9fd00f161cde2b5903184/</t>
  </si>
  <si>
    <t>https://bazaar.abuse.ch/sample/046659391b36a022a48e37bd80ce2c3bd120e3fe786c204128ba32aa8d03a182/</t>
  </si>
  <si>
    <t>https://bazaar.abuse.ch/sample/828984d1112f52f7f24bbc2b15d0f4cf2646cd03809e648f0d3121a1bdb83464/</t>
  </si>
  <si>
    <t>https://bazaar.abuse.ch/sample/e2aac16ad68b597a077a5172aff1cb38ab6795043bd82a85ca67bb27ff63e42e/</t>
  </si>
  <si>
    <t>https://bazaar.abuse.ch/sample/bbbb7f7cf5de8b77397c756142174c42404efca3f2b68ef372b00591a4adc009/</t>
  </si>
  <si>
    <t>https://bazaar.abuse.ch/sample/6bd39efd1a0f996f93d7d829e236e48481ed22eafe7d730e2d8272c86c2dfa8b/</t>
  </si>
  <si>
    <t>https://bazaar.abuse.ch/sample/4de9509b86251ead6fbfbf9841f7f0e43d984d838ce028b52ff8bb620403101c/</t>
  </si>
  <si>
    <t>https://bazaar.abuse.ch/sample/a131ba03e4302930350b6a635ef2b05d122e03a3953d822cf08025f65d2e412b/</t>
  </si>
  <si>
    <t>https://bazaar.abuse.ch/sample/6f87e761d920f56751ebbc33e6e3883db3b3f2bdc42e379fbb92e32b49c70309/</t>
  </si>
  <si>
    <t>https://bazaar.abuse.ch/sample/5f2358def26305841062db24f4088bd96348013b1cbf94ef7b0bfef7f06acae2/</t>
  </si>
  <si>
    <t>https://bazaar.abuse.ch/sample/7b740cfec66997362e87bb72b159ed8293ba8d83ede3092c11811d4c2b78443/</t>
  </si>
  <si>
    <t>https://bazaar.abuse.ch/sample/f1499e94df0ffb1a1ab71a03aebfbe9d0a19f5c3cdec2ec99573/</t>
  </si>
  <si>
    <t>https://bazaar.abuse.ch/sample/2d8cd23e33e56ab396960a0d426c232fd68905e2ac5833f37c412b699135f6ce/</t>
  </si>
  <si>
    <t>https://bazaar.abuse.ch/sample/bdad4a77b678fda8328b2fae290e525a553c490214d43df377dbeb3132879673/</t>
  </si>
  <si>
    <t>https://bazaar.abuse.ch/sample/2de4851dcaaa4b5ed8421a0c72ceed64497c147d85cbfb1928d6baf7760c0c46/</t>
  </si>
  <si>
    <t>https://bazaar.abuse.ch/sample/825a4fadb7be599af9abf2a6d09932cc7a40637c9f8d0427384f84d18c5974c3/</t>
  </si>
  <si>
    <t>https://bazaar.abuse.ch/sample/cd9ce2543b3ffe9eeaef78d0a5e72d389da56d35a38297ef9c8f969479817347/</t>
  </si>
  <si>
    <t>https://bazaar.abuse.ch/sample/b929c38ed2de04451a749f4ee01e608e5d8e34b11a32f08aab5fdf911551870b/</t>
  </si>
  <si>
    <t>https://bazaar.abuse.ch/sample/100f09be76e4efcc3b53f58e7549dea915dde6fde9f3fe061eab98b4d502ad52/</t>
  </si>
  <si>
    <t>https://bazaar.abuse.ch/sample/e5480f6ee9b70e6ee68f3348c01de984e1502b84bcf3756434c11260a9990e3e/</t>
  </si>
  <si>
    <t>https://bazaar.abuse.ch/sample/3cada026bf26091bc19d1e3bab993e0f4ca924cdf0d8bcf6ea71e840e266d62e/</t>
  </si>
  <si>
    <t>https://bazaar.abuse.ch/sample/c7d5a11a092cf99159b6225b640bfeb2912afbed33613e987cd172a8545dbc86/</t>
  </si>
  <si>
    <t>https://bazaar.abuse.ch/sample/a9724d3221e0ada1c0054f5946cb71e4956129843bdad5ffc58b71d1e67f5a57/</t>
  </si>
  <si>
    <t>https://bazaar.abuse.ch/sample/c409297ba37671674cfb25beded3bc1c44bd7865b49872ea3065d09cf65ebbd6/</t>
  </si>
  <si>
    <t>https://bazaar.abuse.ch/sample/756718399f41a49eda172b25624f985c9bc32137739779468fd50edabb2e061b/</t>
  </si>
  <si>
    <t>https://bazaar.abuse.ch/sample/69e0c94b03093e44eceebce88c19abd27e73151a1a4907183bbf7bea3969031e9/</t>
  </si>
  <si>
    <t>https://bazaar.abuse.ch/sample/984b3158e8df2234eed65b1dc9645b2bd982c98760cc2685e665ece0c2faa2a5/</t>
  </si>
  <si>
    <t>https://bazaar.abuse.ch/sample/740cb24ff5f5addf8a32068a4cd902ae7e85efea9c4ea767b77f17b8f4e809f/</t>
  </si>
  <si>
    <t>https://bazaar.abuse.ch/sample/36006adf34cf9a7badc2b2bf544154438c82b7d5e89d0dd2e39005a4ff72751f/</t>
  </si>
  <si>
    <t>https://bazaar.abuse.ch/sample/6b6b671d7185bd2fc2a4cb26782396f69036b1799571e5191ed616ea77d87d7e/</t>
  </si>
  <si>
    <t>https://bazaar.abuse.ch/sample/5296d2b266d5ee3ad5efd97b60ca96fbd1c81e07033bee4ee38d3f49d3f7331d/</t>
  </si>
  <si>
    <t>https://bazaar.abuse.ch/sample/6f385753f5482cc9edf516343c43415dcc4774a2b770bec7b414ca2484e08c77/</t>
  </si>
  <si>
    <t>https://bazaar.abuse.ch/sample/6f4380b7c06c1eed9594b62f9a5bfd959ab4a4ab22b489a5f78ec5478d2ea76a/</t>
  </si>
  <si>
    <t>https://bazaar.abuse.ch/sample/6b19209af402c9b99be61bc33049e6d2a5cd5400abb4baa541a6bc38a6335e99a/</t>
  </si>
  <si>
    <t>https://bazaar.abuse.ch/sample/7e97f315327c7e660b9dbd695f12dabc44d582427bf9bb7e04b114387321d8d/</t>
  </si>
  <si>
    <t>https://bazaar.abuse.ch/sample/172d050cf0d4e4f5407469998857b51261c80209d9fa5a2f5f03f7bca14e85d2/</t>
  </si>
  <si>
    <t>`https://bazaar.abuse.ch/sample/5d77a1d8f3dc774a022fac8215158bf32fa39bf67ae0470e8e39f902</t>
  </si>
  <si>
    <t>6950f28382d7f11e18bdf53f3983117b  </t>
  </si>
  <si>
    <t>8ecafda00f1f5e5f8e94a10bb94d79b3  </t>
  </si>
  <si>
    <t>c6f057c974b24f6abdac5b76b10040b9  </t>
  </si>
  <si>
    <t>ce6b524db5612552294b5661effed7bd  </t>
  </si>
  <si>
    <t>6cd85642bc8cedc2a4b0611aaf2ace54  </t>
  </si>
  <si>
    <t>a8f0b7b152bbc81b670c3eae7171347c  </t>
  </si>
  <si>
    <t>2d6181464e5fd1e4212e6f4162a87421  </t>
  </si>
  <si>
    <t>afce27c7adfd3dcd3b16f6c54e2e44db  </t>
  </si>
  <si>
    <t>660226480eab0d1418833d3f68ff9c63  </t>
  </si>
  <si>
    <t>c273f287456d016e70f2dad586631be8  </t>
  </si>
  <si>
    <t>707ca8053337ef21baa01939b979d3a192b013ec473d8d37ce05122335208dff  </t>
  </si>
  <si>
    <t>0b625b19f44fcf0d5d279b91e1a31797e05822bcecebf5eb89f34fd54e7b943a  </t>
  </si>
  <si>
    <t>6203f7c2020fa458e3fbb65f1eaf48198354b3cf1c49ba848c8e11e8662fc2d4  </t>
  </si>
  <si>
    <t>c60234225b600cea6fa0525a2507218454eeafd0376a9b47b755459edfc35c4f  </t>
  </si>
  <si>
    <t>6ef4996c767182ee28ad87dd18f48015c6b84edb2017b12c1fc0365f7465175e  </t>
  </si>
  <si>
    <t>092b83eb993f591082d9fcfebdb3b7ccc727087e9f7573530c7b028a6bfc820e  </t>
  </si>
  <si>
    <t>4eb6e61578f0e958502fdc6646ec40878ae0006c3033c50219181796e686311e  </t>
  </si>
  <si>
    <t>2238c81031ca78f4df121c94e1fca5368099b6003c30fef83768fef65ce09e9f  </t>
  </si>
  <si>
    <t>65de6303edb13128c26b34b3d3f1a5b78f19302f0c3822b5f82573c045d96c78  </t>
  </si>
  <si>
    <t>c483618671766847fc75ea79fdc201df2e4a93f501dc98ec9c6f283fb1d4336c  </t>
  </si>
  <si>
    <t>930486713426db5072600c504427ea37f108ee2cee7c7c289866164a83f3f356  </t>
  </si>
  <si>
    <t>c61bf95146c68bfbbe01d7695337ed0e93ea759f59f651799f07eecdb339f83f  </t>
  </si>
  <si>
    <t>1bf953862e0ba56144f3469a7915d9e25737a7a75d4d8e64753c9e4ecac96cfc  </t>
  </si>
  <si>
    <t>d9573c3850e2ae35f371df977fc3e5282a5e67db8e3274fd7818e8273fd5c892  </t>
  </si>
  <si>
    <t>575bae4df8b775e9a25b5d207f2f3a4c33291bde65dde7b773127447b6b24ca6  </t>
  </si>
  <si>
    <t>fb713ccf839362bf0fbe01aedd6796f4d74521b133011b408e42c1fd9ab8246b  </t>
  </si>
  <si>
    <t>42b31ef1b8659732d4ef9bac971da465775d0295a97c94b2cf8a5d6d017b08b5  </t>
  </si>
  <si>
    <t>d3451e77530fe71355ebcaaa440fc16a6d1f01e08b9586b00b36ee9936c6430f  </t>
  </si>
  <si>
    <t>1c7ef16e6933c320cbf6fe43f1e988765d6cf4b8dbb827f02a8f59dd4245514e  </t>
  </si>
  <si>
    <t>0a6c6d1b3e8db37a621aad7fba82501c79cd473b146144af7e54a4bfcccc0ff6  </t>
  </si>
  <si>
    <t>d8906512c00fcc101ea306fd8e8931575eb4814d4cfb02c60ed55df5886e1f74  </t>
  </si>
  <si>
    <t>475c3fbef19fca4c279dcff28d42b8f7cac1bcfc6c11404c5e8970a5f02356e0  </t>
  </si>
  <si>
    <t>63da34a4e5f218c6e0c25d3669ca5e47e722a821ee2037cb1acb5938ac3c5a42  </t>
  </si>
  <si>
    <t>de757ba246608e0f391562eaa3226c39f5cf5b06d4182fabf126b378e22bd8ad  </t>
  </si>
  <si>
    <t>90bfcf1f87b988bcd05005367ebe586fb6b4ff1a93eafea1d16e589a159027e8  </t>
  </si>
  <si>
    <t>0a5d9ec781014c71d3a438c14290febb763ec531c8f9f482cab1be3c8df1e34b  </t>
  </si>
  <si>
    <t>73df0680af71117ce1f90bac635d5a3c0a8153c8da2b60fe0ba3be12d58dd2d7  </t>
  </si>
  <si>
    <t>167fd529c3be47e024f3537a33df7c569f963c6dcb45c3a1df2cc62f61e77297  </t>
  </si>
  <si>
    <t>5d4e46b3510679dc49ce295b7f448cd69e952d80ba1450f6800be074992b07cc  </t>
  </si>
  <si>
    <t>1fce697993690d41f75e0e6ed522df49d73a038f7e02733ec239c835579c40bf  </t>
  </si>
  <si>
    <t>ff47ff97021c27c058bbbdcd9d327b9926e02e48145a4c6ea2abfdb036d99255  </t>
  </si>
  <si>
    <t>98d4cdd25423df16a7d6e821f44fb90b50a551c851c2f494cbdaab5c96693049  </t>
  </si>
  <si>
    <t>d6e3b403f916ee188b457d135d00ba1b972f22998dc3ffbbbf9710002a9a0bd9  </t>
  </si>
  <si>
    <t>2548d997fcc8f32e2aa9605e730af81dc18a03b2108971147f0d305b845eb03f  </t>
  </si>
  <si>
    <t>97dd9e460f3946eb0b89ae81a0c3890f529ed47f8bd9fd00f161cde2b5903184  </t>
  </si>
  <si>
    <t>046659391b36a022a48e37bd80ce2c3bd120e3fe786c204128ba32aa8d03a182  </t>
  </si>
  <si>
    <t>828984d1112f52f7f24bbc2b15d0f4cf2646cd03809e648f0d3121a1bdb83464  </t>
  </si>
  <si>
    <t>e2aac16ad68b597a077a5172aff1cb38ab6795043bd82a85ca67bb27ff63e42e  </t>
  </si>
  <si>
    <t>bbbb7f7cf5de8b77397c756142174c42404efca3f2b68ef372b00591a4adc009  </t>
  </si>
  <si>
    <t>6bd39efd1a0f996f93d7d829e236e48481ed22eafe7d730e2d8272c86c2dfa8b  </t>
  </si>
  <si>
    <t>4de9509b86251ead6fbfbf9841f7f0e43d984d838ce028b52ff8bb620403101c  </t>
  </si>
  <si>
    <t>a131ba03e4302930350b6a635ef2b05d122e03a3953d822cf08025f65d2e412b  </t>
  </si>
  <si>
    <t>6f87e761d920f56751ebbc33e6e3883db3b3f2bdc42e379fbb92e32b49c70309  </t>
  </si>
  <si>
    <t>5f2358def26305841062db24f4088bd96348013b1cbf94ef7b0bfef7f06acae2  </t>
  </si>
  <si>
    <t>7b740cfec66997362e87bb72b159ed8293ba8d83ede3092c11811d4c2b78443  </t>
  </si>
  <si>
    <t>f1499e94df0ffb1a1ab71a03aebfbe9d0a19f5c3cdec2ec99573  </t>
  </si>
  <si>
    <t>2d8cd23e33e56ab396960a0d426c232fd68905e2ac5833f37c412b699135f6ce  </t>
  </si>
  <si>
    <t>bdad4a77b678fda8328b2fae290e525a553c490214d43df377dbeb3132879673  </t>
  </si>
  <si>
    <t>2de4851dcaaa4b5ed8421a0c72ceed64497c147d85cbfb1928d6baf7760c0c46  </t>
  </si>
  <si>
    <t>825a4fadb7be599af9abf2a6d09932cc7a40637c9f8d0427384f84d18c5974c3  </t>
  </si>
  <si>
    <t>cd9ce2543b3ffe9eeaef78d0a5e72d389da56d35a38297ef9c8f969479817347  </t>
  </si>
  <si>
    <t>b929c38ed2de04451a749f4ee01e608e5d8e34b11a32f08aab5fdf911551870b  </t>
  </si>
  <si>
    <t>100f09be76e4efcc3b53f58e7549dea915dde6fde9f3fe061eab98b4d502ad52  </t>
  </si>
  <si>
    <t>e5480f6ee9b70e6ee68f3348c01de984e1502b84bcf3756434c11260a9990e3e  </t>
  </si>
  <si>
    <t>3cada026bf26091bc19d1e3bab993e0f4ca924cdf0d8bcf6ea71e840e266d62e  </t>
  </si>
  <si>
    <t>c7d5a11a092cf99159b6225b640bfeb2912afbed33613e987cd172a8545dbc86  </t>
  </si>
  <si>
    <t>a9724d3221e0ada1c0054f5946cb71e4956129843bdad5ffc58b71d1e67f5a57  </t>
  </si>
  <si>
    <t>c409297ba37671674cfb25beded3bc1c44bd7865b49872ea3065d09cf65ebbd6  </t>
  </si>
  <si>
    <t>756718399f41a49eda172b25624f985c9bc32137739779468fd50edabb2e061b  </t>
  </si>
  <si>
    <t>69e0c94b03093e44eceebce88c19abd27e73151a1a4907183bbf7bea3969031e9  </t>
  </si>
  <si>
    <t>984b3158e8df2234eed65b1dc9645b2bd982c98760cc2685e665ece0c2faa2a5  </t>
  </si>
  <si>
    <t>740cb24ff5f5addf8a32068a4cd902ae7e85efea9c4ea767b77f17b8f4e809f  </t>
  </si>
  <si>
    <t>36006adf34cf9a7badc2b2bf544154438c82b7d5e89d0dd2e39005a4ff72751f  </t>
  </si>
  <si>
    <t>6b6b671d7185bd2fc2a4cb26782396f69036b1799571e5191ed616ea77d87d7e  </t>
  </si>
  <si>
    <t>5296d2b266d5ee3ad5efd97b60ca96fbd1c81e07033bee4ee38d3f49d3f7331d  </t>
  </si>
  <si>
    <t>6f385753f5482cc9edf516343c43415dcc4774a2b770bec7b414ca2484e08c77  </t>
  </si>
  <si>
    <t>6f4380b7c06c1eed9594b62f9a5bfd959ab4a4ab22b489a5f78ec5478d2ea76a  </t>
  </si>
  <si>
    <t>6b19209af402c9b99be61bc33049e6d2a5cd5400abb4baa541a6bc38a6335e99a  </t>
  </si>
  <si>
    <t>7e97f315327c7e660b9dbd695f12dabc44d582427bf9bb7e04b114387321d8d  </t>
  </si>
  <si>
    <t>172d050cf0d4e4f5407469998857b51261c80209d9fa5a2f5f03f7bca14e85d2  </t>
  </si>
  <si>
    <t>5d77a1d8f3dc774a022fac8215158bf32fa39bf67ae0470e8e39f9023c28e31ea  </t>
  </si>
  <si>
    <t>c8804b6bae332311c4d2133e6b6bf038d8a50493  </t>
  </si>
  <si>
    <t>2f119b78949fed3518bfe32dfc5d3f37de1c164f  </t>
  </si>
  <si>
    <t>56b6c723af4c943d01715c62f555c23f84351a36  </t>
  </si>
  <si>
    <t>f6c1377021b5081f09331d772f82a1233adc8745  </t>
  </si>
  <si>
    <t>1362f231fea469d8e10b7f1d296420298ad12ce4  </t>
  </si>
  <si>
    <t>https://bazaar.abuse.ch/browse/signature/Mirai/</t>
  </si>
  <si>
    <t>Tsunami (kaiten)</t>
  </si>
  <si>
    <t>Gafgyt</t>
  </si>
  <si>
    <t>Procesador</t>
  </si>
  <si>
    <t>x86</t>
  </si>
  <si>
    <t>e9decec9730c894effbb5b0b7686a1883bdf0bc29c6a1e28dede706416632d7c</t>
  </si>
  <si>
    <t>gafgyt, mirai, bashlite</t>
  </si>
  <si>
    <t>Existe</t>
  </si>
  <si>
    <t>Si</t>
  </si>
  <si>
    <t>Porc</t>
  </si>
  <si>
    <t>44/65</t>
  </si>
  <si>
    <t>ELF</t>
  </si>
  <si>
    <t>SO, formato</t>
  </si>
  <si>
    <t>Análisi estático</t>
  </si>
  <si>
    <t>Muestras de malware</t>
  </si>
  <si>
    <t>Públicas</t>
  </si>
  <si>
    <t>CVE-2017-17215</t>
  </si>
  <si>
    <t>CVE</t>
  </si>
  <si>
    <t>Link CVE</t>
  </si>
  <si>
    <t>MD5</t>
  </si>
  <si>
    <t>SHA1</t>
  </si>
  <si>
    <t>HASH</t>
  </si>
  <si>
    <t>Estadísticas</t>
  </si>
  <si>
    <t>Cantidad</t>
  </si>
  <si>
    <t>Muestras por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</si>
</sst>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6"/>
      <color rgb="FFFFFFFF"/>
      <name val="Helvetica Neue"/>
      <family val="2"/>
    </font>
    <font>
      <b/>
      <sz val="12"/>
      <color rgb="FFFFFFFF"/>
      <name val="Helvetica Neue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8"/>
      <color rgb="FF000000"/>
      <name val="Times New Roman"/>
      <family val="1"/>
    </font>
    <font>
      <sz val="12"/>
      <color theme="10"/>
      <name val="Aptos Narrow"/>
      <family val="2"/>
      <scheme val="minor"/>
    </font>
    <font>
      <sz val="12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Times New Roman"/>
      <family val="1"/>
    </font>
    <font>
      <sz val="10"/>
      <color rgb="FF0F1115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0F1115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00000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1" fillId="0" borderId="0" xfId="0" applyFont="1"/>
    <xf numFmtId="0" fontId="20" fillId="0" borderId="0" xfId="0" applyFont="1"/>
    <xf numFmtId="0" fontId="21" fillId="0" borderId="0" xfId="0" applyFont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9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2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6" xfId="0" applyFont="1" applyBorder="1"/>
    <xf numFmtId="11" fontId="9" fillId="0" borderId="6" xfId="0" applyNumberFormat="1" applyFont="1" applyBorder="1"/>
    <xf numFmtId="0" fontId="12" fillId="0" borderId="6" xfId="0" applyFont="1" applyBorder="1"/>
    <xf numFmtId="0" fontId="8" fillId="5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Estadisticas!$C$4</c:f>
              <c:strCache>
                <c:ptCount val="1"/>
                <c:pt idx="0">
                  <c:v>Muestras por año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Estadisticas!$C$6:$C$32</c:f>
              <c:numCache>
                <c:formatCode>General</c:formatCode>
                <c:ptCount val="27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  <c:pt idx="5">
                  <c:v>2021</c:v>
                </c:pt>
                <c:pt idx="6">
                  <c:v>2020</c:v>
                </c:pt>
                <c:pt idx="7">
                  <c:v>2019</c:v>
                </c:pt>
                <c:pt idx="8">
                  <c:v>2018</c:v>
                </c:pt>
                <c:pt idx="9">
                  <c:v>2017</c:v>
                </c:pt>
                <c:pt idx="10">
                  <c:v>2016</c:v>
                </c:pt>
                <c:pt idx="11">
                  <c:v>2015</c:v>
                </c:pt>
                <c:pt idx="12">
                  <c:v>2014</c:v>
                </c:pt>
                <c:pt idx="13">
                  <c:v>2013</c:v>
                </c:pt>
                <c:pt idx="14">
                  <c:v>2012</c:v>
                </c:pt>
                <c:pt idx="15">
                  <c:v>2011</c:v>
                </c:pt>
                <c:pt idx="16">
                  <c:v>2010</c:v>
                </c:pt>
                <c:pt idx="17">
                  <c:v>2009</c:v>
                </c:pt>
                <c:pt idx="18">
                  <c:v>2008</c:v>
                </c:pt>
                <c:pt idx="19">
                  <c:v>2007</c:v>
                </c:pt>
                <c:pt idx="20">
                  <c:v>2006</c:v>
                </c:pt>
                <c:pt idx="21">
                  <c:v>2005</c:v>
                </c:pt>
                <c:pt idx="22">
                  <c:v>2004</c:v>
                </c:pt>
                <c:pt idx="23">
                  <c:v>2003</c:v>
                </c:pt>
                <c:pt idx="24">
                  <c:v>2002</c:v>
                </c:pt>
                <c:pt idx="25">
                  <c:v>2001</c:v>
                </c:pt>
                <c:pt idx="26">
                  <c:v>2000</c:v>
                </c:pt>
              </c:numCache>
            </c:numRef>
          </c:cat>
          <c:val>
            <c:numRef>
              <c:f>Estadisticas!$D$6:$D$32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9-384B-A270-934F53C5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20127"/>
        <c:axId val="289937087"/>
      </c:lineChart>
      <c:catAx>
        <c:axId val="1003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289937087"/>
        <c:crosses val="autoZero"/>
        <c:auto val="1"/>
        <c:lblAlgn val="ctr"/>
        <c:lblOffset val="100"/>
        <c:noMultiLvlLbl val="0"/>
      </c:catAx>
      <c:valAx>
        <c:axId val="2899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0032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19537</xdr:colOff>
      <xdr:row>4</xdr:row>
      <xdr:rowOff>201246</xdr:rowOff>
    </xdr:from>
    <xdr:to>
      <xdr:col>12</xdr:col>
      <xdr:colOff>156308</xdr:colOff>
      <xdr:row>22</xdr:row>
      <xdr:rowOff>117231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738B4-EEDE-6E1E-5CB6-FF2E3B8B9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bazaar.abuse.ch/browse/signature/Mirai/" TargetMode="External"/><Relationship Id="rId21" Type="http://schemas.openxmlformats.org/officeDocument/2006/relationships/hyperlink" Target="https://maltiverse.com/intelligence/sample/0b625b19f44fcf0d5d279b91e1a31797e05822bcecebf5eb89f34fd54e7b943a" TargetMode="External"/><Relationship Id="rId42" Type="http://schemas.openxmlformats.org/officeDocument/2006/relationships/hyperlink" Target="http://bazaar.abuse.ch/browse/signature/Mirai/" TargetMode="External"/><Relationship Id="rId47" Type="http://schemas.openxmlformats.org/officeDocument/2006/relationships/hyperlink" Target="http://bazaar.abuse.ch/browse/signature/Mirai/" TargetMode="External"/><Relationship Id="rId63" Type="http://schemas.openxmlformats.org/officeDocument/2006/relationships/hyperlink" Target="http://bazaar.abuse.ch/browse/signature/Mirai/" TargetMode="External"/><Relationship Id="rId68" Type="http://schemas.openxmlformats.org/officeDocument/2006/relationships/hyperlink" Target="http://bazaar.abuse.ch/browse/signature/Mirai/" TargetMode="External"/><Relationship Id="rId84" Type="http://schemas.openxmlformats.org/officeDocument/2006/relationships/hyperlink" Target="http://bazaar.abuse.ch/browse/signature/Mirai/" TargetMode="External"/><Relationship Id="rId89" Type="http://schemas.openxmlformats.org/officeDocument/2006/relationships/hyperlink" Target="http://bazaar.abuse.ch/browse/signature/Mirai/" TargetMode="External"/><Relationship Id="rId16" Type="http://schemas.openxmlformats.org/officeDocument/2006/relationships/hyperlink" Target="http://bazaar.abuse.ch/browse/signature/Mirai/" TargetMode="External"/><Relationship Id="rId107" Type="http://schemas.openxmlformats.org/officeDocument/2006/relationships/hyperlink" Target="http://bazaar.abuse.ch/browse/signature/Mirai/" TargetMode="External"/><Relationship Id="rId11" Type="http://schemas.openxmlformats.org/officeDocument/2006/relationships/hyperlink" Target="https://tria.ge/220915-tdq7rahcal" TargetMode="External"/><Relationship Id="rId32" Type="http://schemas.openxmlformats.org/officeDocument/2006/relationships/hyperlink" Target="http://bazaar.abuse.ch/browse/signature/Mirai/" TargetMode="External"/><Relationship Id="rId37" Type="http://schemas.openxmlformats.org/officeDocument/2006/relationships/hyperlink" Target="https://rewterz.com/threat-advisory/mirai-botnet-aka-katana-active-iocs-48" TargetMode="External"/><Relationship Id="rId53" Type="http://schemas.openxmlformats.org/officeDocument/2006/relationships/hyperlink" Target="http://bazaar.abuse.ch/browse/signature/Mirai/" TargetMode="External"/><Relationship Id="rId58" Type="http://schemas.openxmlformats.org/officeDocument/2006/relationships/hyperlink" Target="http://bazaar.abuse.ch/browse/signature/Mirai/" TargetMode="External"/><Relationship Id="rId74" Type="http://schemas.openxmlformats.org/officeDocument/2006/relationships/hyperlink" Target="http://bazaar.abuse.ch/browse/signature/Mirai/" TargetMode="External"/><Relationship Id="rId79" Type="http://schemas.openxmlformats.org/officeDocument/2006/relationships/hyperlink" Target="http://bazaar.abuse.ch/browse/signature/Mirai/" TargetMode="External"/><Relationship Id="rId102" Type="http://schemas.openxmlformats.org/officeDocument/2006/relationships/hyperlink" Target="http://bazaar.abuse.ch/browse/signature/Mirai/" TargetMode="External"/><Relationship Id="rId5" Type="http://schemas.openxmlformats.org/officeDocument/2006/relationships/hyperlink" Target="https://malwareanalysisspace.blogspot.com/search/label/Mirai" TargetMode="External"/><Relationship Id="rId90" Type="http://schemas.openxmlformats.org/officeDocument/2006/relationships/hyperlink" Target="http://bazaar.abuse.ch/browse/signature/Mirai/" TargetMode="External"/><Relationship Id="rId95" Type="http://schemas.openxmlformats.org/officeDocument/2006/relationships/hyperlink" Target="http://bazaar.abuse.ch/browse/signature/Mirai/" TargetMode="External"/><Relationship Id="rId22" Type="http://schemas.openxmlformats.org/officeDocument/2006/relationships/hyperlink" Target="http://bazaar.abuse.ch/browse/signature/Mirai/" TargetMode="External"/><Relationship Id="rId27" Type="http://schemas.openxmlformats.org/officeDocument/2006/relationships/hyperlink" Target="https://rewterz.com/threat-advisory/mirai-botnet-aka-katana-active-iocs-48" TargetMode="External"/><Relationship Id="rId43" Type="http://schemas.openxmlformats.org/officeDocument/2006/relationships/hyperlink" Target="http://elkeid.bytedance.com/blogs/malicious_file_analyze/elkeid_20220508_botnet_1.html" TargetMode="External"/><Relationship Id="rId48" Type="http://schemas.openxmlformats.org/officeDocument/2006/relationships/hyperlink" Target="http://bazaar.abuse.ch/browse/signature/Mirai/" TargetMode="External"/><Relationship Id="rId64" Type="http://schemas.openxmlformats.org/officeDocument/2006/relationships/hyperlink" Target="http://bazaar.abuse.ch/browse/signature/Mirai/" TargetMode="External"/><Relationship Id="rId69" Type="http://schemas.openxmlformats.org/officeDocument/2006/relationships/hyperlink" Target="http://bazaar.abuse.ch/browse/signature/Mirai/" TargetMode="External"/><Relationship Id="rId80" Type="http://schemas.openxmlformats.org/officeDocument/2006/relationships/hyperlink" Target="http://bazaar.abuse.ch/browse/signature/Mirai/" TargetMode="External"/><Relationship Id="rId85" Type="http://schemas.openxmlformats.org/officeDocument/2006/relationships/hyperlink" Target="http://bazaar.abuse.ch/browse/signature/Mirai/" TargetMode="External"/><Relationship Id="rId12" Type="http://schemas.openxmlformats.org/officeDocument/2006/relationships/hyperlink" Target="http://bazaar.abuse.ch/browse/signature/Mirai/" TargetMode="External"/><Relationship Id="rId17" Type="http://schemas.openxmlformats.org/officeDocument/2006/relationships/hyperlink" Target="https://maltiverse.com/intelligence/sample/0b625b19f44fcf0d5d279b91e1a31797e05822bcecebf5eb89f34fd54e7b943a" TargetMode="External"/><Relationship Id="rId33" Type="http://schemas.openxmlformats.org/officeDocument/2006/relationships/hyperlink" Target="https://rewterz.com/threat-advisory/mirai-botnet-aka-katana-active-iocs-48" TargetMode="External"/><Relationship Id="rId38" Type="http://schemas.openxmlformats.org/officeDocument/2006/relationships/hyperlink" Target="http://bazaar.abuse.ch/browse/signature/Mirai/" TargetMode="External"/><Relationship Id="rId59" Type="http://schemas.openxmlformats.org/officeDocument/2006/relationships/hyperlink" Target="http://bazaar.abuse.ch/browse/signature/Mirai/" TargetMode="External"/><Relationship Id="rId103" Type="http://schemas.openxmlformats.org/officeDocument/2006/relationships/hyperlink" Target="http://bazaar.abuse.ch/browse/signature/Mirai/" TargetMode="External"/><Relationship Id="rId20" Type="http://schemas.openxmlformats.org/officeDocument/2006/relationships/hyperlink" Target="http://bazaar.abuse.ch/browse/signature/Mirai/" TargetMode="External"/><Relationship Id="rId41" Type="http://schemas.openxmlformats.org/officeDocument/2006/relationships/hyperlink" Target="http://elkeid.bytedance.com/blogs/malicious_file_analyze/elkeid_20220508_botnet_1.html" TargetMode="External"/><Relationship Id="rId54" Type="http://schemas.openxmlformats.org/officeDocument/2006/relationships/hyperlink" Target="http://bazaar.abuse.ch/browse/signature/Mirai/" TargetMode="External"/><Relationship Id="rId62" Type="http://schemas.openxmlformats.org/officeDocument/2006/relationships/hyperlink" Target="http://bazaar.abuse.ch/browse/signature/Mirai/" TargetMode="External"/><Relationship Id="rId70" Type="http://schemas.openxmlformats.org/officeDocument/2006/relationships/hyperlink" Target="http://bazaar.abuse.ch/browse/signature/Mirai/" TargetMode="External"/><Relationship Id="rId75" Type="http://schemas.openxmlformats.org/officeDocument/2006/relationships/hyperlink" Target="http://bazaar.abuse.ch/browse/signature/Mirai/" TargetMode="External"/><Relationship Id="rId83" Type="http://schemas.openxmlformats.org/officeDocument/2006/relationships/hyperlink" Target="http://bazaar.abuse.ch/browse/signature/Mirai/" TargetMode="External"/><Relationship Id="rId88" Type="http://schemas.openxmlformats.org/officeDocument/2006/relationships/hyperlink" Target="http://bazaar.abuse.ch/browse/signature/Mirai/" TargetMode="External"/><Relationship Id="rId91" Type="http://schemas.openxmlformats.org/officeDocument/2006/relationships/hyperlink" Target="http://bazaar.abuse.ch/browse/signature/Mirai/" TargetMode="External"/><Relationship Id="rId96" Type="http://schemas.openxmlformats.org/officeDocument/2006/relationships/hyperlink" Target="http://bazaar.abuse.ch/browse/signature/Mirai/" TargetMode="External"/><Relationship Id="rId1" Type="http://schemas.openxmlformats.org/officeDocument/2006/relationships/hyperlink" Target="https://malwareanalysisspace.blogspot.com/search/label/Mirai" TargetMode="External"/><Relationship Id="rId6" Type="http://schemas.openxmlformats.org/officeDocument/2006/relationships/hyperlink" Target="http://bazaar.abuse.ch/browse/signature/Mirai/" TargetMode="External"/><Relationship Id="rId15" Type="http://schemas.openxmlformats.org/officeDocument/2006/relationships/hyperlink" Target="https://tria.ge/220915-tdq7rahcal" TargetMode="External"/><Relationship Id="rId23" Type="http://schemas.openxmlformats.org/officeDocument/2006/relationships/hyperlink" Target="https://rewterz.com/threat-advisory/mirai-botnet-aka-katana-active-iocs-48" TargetMode="External"/><Relationship Id="rId28" Type="http://schemas.openxmlformats.org/officeDocument/2006/relationships/hyperlink" Target="http://bazaar.abuse.ch/browse/signature/Mirai/" TargetMode="External"/><Relationship Id="rId36" Type="http://schemas.openxmlformats.org/officeDocument/2006/relationships/hyperlink" Target="http://bazaar.abuse.ch/browse/signature/Mirai/" TargetMode="External"/><Relationship Id="rId49" Type="http://schemas.openxmlformats.org/officeDocument/2006/relationships/hyperlink" Target="http://bazaar.abuse.ch/browse/signature/Mirai/" TargetMode="External"/><Relationship Id="rId57" Type="http://schemas.openxmlformats.org/officeDocument/2006/relationships/hyperlink" Target="http://bazaar.abuse.ch/browse/signature/Mirai/" TargetMode="External"/><Relationship Id="rId106" Type="http://schemas.openxmlformats.org/officeDocument/2006/relationships/hyperlink" Target="http://bazaar.abuse.ch/browse/signature/Mirai/" TargetMode="External"/><Relationship Id="rId10" Type="http://schemas.openxmlformats.org/officeDocument/2006/relationships/hyperlink" Target="http://bazaar.abuse.ch/browse/signature/Mirai/" TargetMode="External"/><Relationship Id="rId31" Type="http://schemas.openxmlformats.org/officeDocument/2006/relationships/hyperlink" Target="https://rewterz.com/threat-advisory/mirai-botnet-aka-katana-active-iocs-48" TargetMode="External"/><Relationship Id="rId44" Type="http://schemas.openxmlformats.org/officeDocument/2006/relationships/hyperlink" Target="http://bazaar.abuse.ch/browse/signature/Mirai/" TargetMode="External"/><Relationship Id="rId52" Type="http://schemas.openxmlformats.org/officeDocument/2006/relationships/hyperlink" Target="http://bazaar.abuse.ch/browse/signature/Mirai/" TargetMode="External"/><Relationship Id="rId60" Type="http://schemas.openxmlformats.org/officeDocument/2006/relationships/hyperlink" Target="http://bazaar.abuse.ch/browse/signature/Mirai/" TargetMode="External"/><Relationship Id="rId65" Type="http://schemas.openxmlformats.org/officeDocument/2006/relationships/hyperlink" Target="http://bazaar.abuse.ch/browse/signature/Mirai/" TargetMode="External"/><Relationship Id="rId73" Type="http://schemas.openxmlformats.org/officeDocument/2006/relationships/hyperlink" Target="http://bazaar.abuse.ch/browse/signature/Mirai/" TargetMode="External"/><Relationship Id="rId78" Type="http://schemas.openxmlformats.org/officeDocument/2006/relationships/hyperlink" Target="http://bazaar.abuse.ch/browse/signature/Mirai/" TargetMode="External"/><Relationship Id="rId81" Type="http://schemas.openxmlformats.org/officeDocument/2006/relationships/hyperlink" Target="http://bazaar.abuse.ch/browse/signature/Mirai/" TargetMode="External"/><Relationship Id="rId86" Type="http://schemas.openxmlformats.org/officeDocument/2006/relationships/hyperlink" Target="http://bazaar.abuse.ch/browse/signature/Mirai/" TargetMode="External"/><Relationship Id="rId94" Type="http://schemas.openxmlformats.org/officeDocument/2006/relationships/hyperlink" Target="http://bazaar.abuse.ch/browse/signature/Mirai/" TargetMode="External"/><Relationship Id="rId99" Type="http://schemas.openxmlformats.org/officeDocument/2006/relationships/hyperlink" Target="http://bazaar.abuse.ch/browse/signature/Mirai/" TargetMode="External"/><Relationship Id="rId101" Type="http://schemas.openxmlformats.org/officeDocument/2006/relationships/hyperlink" Target="http://bazaar.abuse.ch/browse/signature/Mirai/" TargetMode="External"/><Relationship Id="rId4" Type="http://schemas.openxmlformats.org/officeDocument/2006/relationships/hyperlink" Target="http://bazaar.abuse.ch/browse/signature/Mirai/" TargetMode="External"/><Relationship Id="rId9" Type="http://schemas.openxmlformats.org/officeDocument/2006/relationships/hyperlink" Target="https://malwareanalysisspace.blogspot.com/search/label/Mirai" TargetMode="External"/><Relationship Id="rId13" Type="http://schemas.openxmlformats.org/officeDocument/2006/relationships/hyperlink" Target="https://tria.ge/220915-tdq7rahcal" TargetMode="External"/><Relationship Id="rId18" Type="http://schemas.openxmlformats.org/officeDocument/2006/relationships/hyperlink" Target="http://bazaar.abuse.ch/browse/signature/Mirai/" TargetMode="External"/><Relationship Id="rId39" Type="http://schemas.openxmlformats.org/officeDocument/2006/relationships/hyperlink" Target="https://rewterz.com/threat-advisory/mirai-botnet-aka-katana-active-iocs-48" TargetMode="External"/><Relationship Id="rId34" Type="http://schemas.openxmlformats.org/officeDocument/2006/relationships/hyperlink" Target="http://bazaar.abuse.ch/browse/signature/Mirai/" TargetMode="External"/><Relationship Id="rId50" Type="http://schemas.openxmlformats.org/officeDocument/2006/relationships/hyperlink" Target="http://bazaar.abuse.ch/browse/signature/Mirai/" TargetMode="External"/><Relationship Id="rId55" Type="http://schemas.openxmlformats.org/officeDocument/2006/relationships/hyperlink" Target="http://bazaar.abuse.ch/browse/signature/Mirai/" TargetMode="External"/><Relationship Id="rId76" Type="http://schemas.openxmlformats.org/officeDocument/2006/relationships/hyperlink" Target="http://bazaar.abuse.ch/browse/signature/Mirai/" TargetMode="External"/><Relationship Id="rId97" Type="http://schemas.openxmlformats.org/officeDocument/2006/relationships/hyperlink" Target="http://bazaar.abuse.ch/browse/signature/Mirai/" TargetMode="External"/><Relationship Id="rId104" Type="http://schemas.openxmlformats.org/officeDocument/2006/relationships/hyperlink" Target="http://bazaar.abuse.ch/browse/signature/Mirai/" TargetMode="External"/><Relationship Id="rId7" Type="http://schemas.openxmlformats.org/officeDocument/2006/relationships/hyperlink" Target="https://malwareanalysisspace.blogspot.com/search/label/Mirai" TargetMode="External"/><Relationship Id="rId71" Type="http://schemas.openxmlformats.org/officeDocument/2006/relationships/hyperlink" Target="http://bazaar.abuse.ch/browse/signature/Mirai/" TargetMode="External"/><Relationship Id="rId92" Type="http://schemas.openxmlformats.org/officeDocument/2006/relationships/hyperlink" Target="http://bazaar.abuse.ch/browse/signature/Mirai/" TargetMode="External"/><Relationship Id="rId2" Type="http://schemas.openxmlformats.org/officeDocument/2006/relationships/hyperlink" Target="http://bazaar.abuse.ch/browse/signature/Mirai/" TargetMode="External"/><Relationship Id="rId29" Type="http://schemas.openxmlformats.org/officeDocument/2006/relationships/hyperlink" Target="https://rewterz.com/threat-advisory/mirai-botnet-aka-katana-active-iocs-48" TargetMode="External"/><Relationship Id="rId24" Type="http://schemas.openxmlformats.org/officeDocument/2006/relationships/hyperlink" Target="http://bazaar.abuse.ch/browse/signature/Mirai/" TargetMode="External"/><Relationship Id="rId40" Type="http://schemas.openxmlformats.org/officeDocument/2006/relationships/hyperlink" Target="http://bazaar.abuse.ch/browse/signature/Mirai/" TargetMode="External"/><Relationship Id="rId45" Type="http://schemas.openxmlformats.org/officeDocument/2006/relationships/hyperlink" Target="http://bazaar.abuse.ch/browse/signature/Mirai/" TargetMode="External"/><Relationship Id="rId66" Type="http://schemas.openxmlformats.org/officeDocument/2006/relationships/hyperlink" Target="http://bazaar.abuse.ch/browse/signature/Mirai/" TargetMode="External"/><Relationship Id="rId87" Type="http://schemas.openxmlformats.org/officeDocument/2006/relationships/hyperlink" Target="http://bazaar.abuse.ch/browse/signature/Mirai/" TargetMode="External"/><Relationship Id="rId61" Type="http://schemas.openxmlformats.org/officeDocument/2006/relationships/hyperlink" Target="http://bazaar.abuse.ch/browse/signature/Mirai/" TargetMode="External"/><Relationship Id="rId82" Type="http://schemas.openxmlformats.org/officeDocument/2006/relationships/hyperlink" Target="http://bazaar.abuse.ch/browse/signature/Mirai/" TargetMode="External"/><Relationship Id="rId19" Type="http://schemas.openxmlformats.org/officeDocument/2006/relationships/hyperlink" Target="https://maltiverse.com/intelligence/sample/0b625b19f44fcf0d5d279b91e1a31797e05822bcecebf5eb89f34fd54e7b943a" TargetMode="External"/><Relationship Id="rId14" Type="http://schemas.openxmlformats.org/officeDocument/2006/relationships/hyperlink" Target="http://bazaar.abuse.ch/browse/signature/Mirai/" TargetMode="External"/><Relationship Id="rId30" Type="http://schemas.openxmlformats.org/officeDocument/2006/relationships/hyperlink" Target="http://bazaar.abuse.ch/browse/signature/Mirai/" TargetMode="External"/><Relationship Id="rId35" Type="http://schemas.openxmlformats.org/officeDocument/2006/relationships/hyperlink" Target="https://rewterz.com/threat-advisory/mirai-botnet-aka-katana-active-iocs-48" TargetMode="External"/><Relationship Id="rId56" Type="http://schemas.openxmlformats.org/officeDocument/2006/relationships/hyperlink" Target="http://bazaar.abuse.ch/browse/signature/Mirai/" TargetMode="External"/><Relationship Id="rId77" Type="http://schemas.openxmlformats.org/officeDocument/2006/relationships/hyperlink" Target="http://bazaar.abuse.ch/browse/signature/Mirai/" TargetMode="External"/><Relationship Id="rId100" Type="http://schemas.openxmlformats.org/officeDocument/2006/relationships/hyperlink" Target="http://bazaar.abuse.ch/browse/signature/Mirai/" TargetMode="External"/><Relationship Id="rId105" Type="http://schemas.openxmlformats.org/officeDocument/2006/relationships/hyperlink" Target="http://bazaar.abuse.ch/browse/signature/Mirai/" TargetMode="External"/><Relationship Id="rId8" Type="http://schemas.openxmlformats.org/officeDocument/2006/relationships/hyperlink" Target="http://bazaar.abuse.ch/browse/signature/Mirai/" TargetMode="External"/><Relationship Id="rId51" Type="http://schemas.openxmlformats.org/officeDocument/2006/relationships/hyperlink" Target="http://bazaar.abuse.ch/browse/signature/Mirai/" TargetMode="External"/><Relationship Id="rId72" Type="http://schemas.openxmlformats.org/officeDocument/2006/relationships/hyperlink" Target="http://bazaar.abuse.ch/browse/signature/Mirai/" TargetMode="External"/><Relationship Id="rId93" Type="http://schemas.openxmlformats.org/officeDocument/2006/relationships/hyperlink" Target="http://bazaar.abuse.ch/browse/signature/Mirai/" TargetMode="External"/><Relationship Id="rId98" Type="http://schemas.openxmlformats.org/officeDocument/2006/relationships/hyperlink" Target="http://bazaar.abuse.ch/browse/signature/Mirai/" TargetMode="External"/><Relationship Id="rId3" Type="http://schemas.openxmlformats.org/officeDocument/2006/relationships/hyperlink" Target="https://malwareanalysisspace.blogspot.com/search/label/Mirai" TargetMode="External"/><Relationship Id="rId25" Type="http://schemas.openxmlformats.org/officeDocument/2006/relationships/hyperlink" Target="https://rewterz.com/threat-advisory/mirai-botnet-aka-katana-active-iocs-48" TargetMode="External"/><Relationship Id="rId46" Type="http://schemas.openxmlformats.org/officeDocument/2006/relationships/hyperlink" Target="http://bazaar.abuse.ch/browse/signature/Mirai/" TargetMode="External"/><Relationship Id="rId67" Type="http://schemas.openxmlformats.org/officeDocument/2006/relationships/hyperlink" Target="http://bazaar.abuse.ch/browse/signature/Mira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1759-BF6E-D248-A579-DFDFC4D698B2}">
  <dimension ref="A1:Q84"/>
  <sheetViews>
    <sheetView zoomScale="140" zoomScaleNormal="14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" sqref="A5"/>
    </sheetView>
  </sheetViews>
  <sheetFormatPr baseColWidth="10" defaultRowHeight="16" x14ac:dyDescent="0.2"/>
  <cols>
    <col min="1" max="1" width="10.83203125" style="11" customWidth="1"/>
    <col min="2" max="2" width="6.1640625" style="9" customWidth="1"/>
    <col min="3" max="3" width="27" style="9" customWidth="1"/>
    <col min="4" max="4" width="7.5" style="9" customWidth="1"/>
    <col min="5" max="5" width="25" style="9" customWidth="1"/>
    <col min="6" max="6" width="24.5" style="9" customWidth="1"/>
    <col min="7" max="7" width="46.6640625" style="11" customWidth="1"/>
    <col min="8" max="8" width="24" style="11" customWidth="1"/>
    <col min="9" max="9" width="9.5" style="11" customWidth="1"/>
    <col min="10" max="10" width="26" style="11" customWidth="1"/>
    <col min="11" max="11" width="11" style="11" customWidth="1"/>
    <col min="12" max="12" width="12.83203125" style="9" customWidth="1"/>
    <col min="13" max="13" width="14" style="9" customWidth="1"/>
    <col min="14" max="15" width="10.83203125" style="11"/>
    <col min="16" max="16" width="15.5" style="11" customWidth="1"/>
    <col min="17" max="17" width="46.5" style="11" customWidth="1"/>
    <col min="18" max="16384" width="10.83203125" style="11"/>
  </cols>
  <sheetData>
    <row r="1" spans="1:17" x14ac:dyDescent="0.2">
      <c r="A1" s="21" t="s">
        <v>18</v>
      </c>
      <c r="H1" s="19" t="s">
        <v>15</v>
      </c>
      <c r="I1" s="19"/>
      <c r="J1" s="20" t="s">
        <v>14</v>
      </c>
      <c r="K1" s="20"/>
    </row>
    <row r="2" spans="1:17" ht="21" thickBot="1" x14ac:dyDescent="0.25">
      <c r="C2" s="13" t="s">
        <v>249</v>
      </c>
      <c r="D2" s="13"/>
      <c r="E2" s="13"/>
      <c r="F2" s="13"/>
      <c r="G2" s="10"/>
    </row>
    <row r="3" spans="1:17" x14ac:dyDescent="0.2">
      <c r="C3" s="9" t="s">
        <v>250</v>
      </c>
      <c r="E3" s="38" t="s">
        <v>256</v>
      </c>
      <c r="F3" s="39"/>
      <c r="G3" s="40"/>
      <c r="H3" s="34" t="s">
        <v>10</v>
      </c>
      <c r="I3" s="34"/>
      <c r="J3" s="34" t="s">
        <v>11</v>
      </c>
      <c r="K3" s="34"/>
      <c r="L3" s="38" t="s">
        <v>248</v>
      </c>
      <c r="M3" s="39"/>
      <c r="N3" s="39"/>
      <c r="O3" s="40"/>
      <c r="P3" s="16" t="s">
        <v>252</v>
      </c>
      <c r="Q3" s="16" t="s">
        <v>253</v>
      </c>
    </row>
    <row r="4" spans="1:17" s="12" customFormat="1" x14ac:dyDescent="0.2">
      <c r="B4" s="16" t="s">
        <v>0</v>
      </c>
      <c r="C4" s="16" t="s">
        <v>7</v>
      </c>
      <c r="D4" s="16" t="s">
        <v>9</v>
      </c>
      <c r="E4" s="52" t="s">
        <v>254</v>
      </c>
      <c r="F4" s="51" t="s">
        <v>255</v>
      </c>
      <c r="G4" s="53" t="s">
        <v>8</v>
      </c>
      <c r="H4" s="16" t="s">
        <v>3</v>
      </c>
      <c r="I4" s="16" t="s">
        <v>242</v>
      </c>
      <c r="J4" s="16" t="s">
        <v>6</v>
      </c>
      <c r="K4" s="16" t="s">
        <v>244</v>
      </c>
      <c r="L4" s="41" t="s">
        <v>238</v>
      </c>
      <c r="M4" s="35" t="s">
        <v>247</v>
      </c>
      <c r="N4" s="35"/>
      <c r="O4" s="42"/>
    </row>
    <row r="5" spans="1:17" x14ac:dyDescent="0.15">
      <c r="B5" s="9">
        <v>1</v>
      </c>
      <c r="C5" s="9" t="s">
        <v>241</v>
      </c>
      <c r="D5" s="9">
        <v>2024</v>
      </c>
      <c r="E5" s="43"/>
      <c r="F5" s="36"/>
      <c r="G5" s="54" t="s">
        <v>240</v>
      </c>
      <c r="H5" s="14" t="str">
        <f>HYPERLINK(CONCATENATE($H$3,G5), "VirusShare")</f>
        <v>VirusShare</v>
      </c>
      <c r="I5" s="9" t="s">
        <v>243</v>
      </c>
      <c r="J5" s="14" t="str">
        <f>HYPERLINK(CONCATENATE($J$3,G5), "VirusTotal")</f>
        <v>VirusTotal</v>
      </c>
      <c r="K5" s="9" t="s">
        <v>245</v>
      </c>
      <c r="L5" s="43" t="s">
        <v>239</v>
      </c>
      <c r="M5" s="36" t="s">
        <v>246</v>
      </c>
      <c r="N5" s="37"/>
      <c r="O5" s="44"/>
      <c r="P5" s="50" t="s">
        <v>251</v>
      </c>
      <c r="Q5" s="6" t="str">
        <f>HYPERLINK(_xlfn.CONCAT("https://www.cve.org/CVERecord?id=", P5))</f>
        <v>https://www.cve.org/CVERecord?id=CVE-2017-17215</v>
      </c>
    </row>
    <row r="6" spans="1:17" x14ac:dyDescent="0.15">
      <c r="B6" s="9">
        <v>2</v>
      </c>
      <c r="E6" s="43"/>
      <c r="F6" s="36"/>
      <c r="G6" s="54"/>
      <c r="H6" s="18"/>
      <c r="I6" s="9"/>
      <c r="J6" s="18"/>
      <c r="K6" s="18"/>
      <c r="L6" s="43"/>
      <c r="M6" s="36"/>
      <c r="N6" s="37"/>
      <c r="O6" s="44"/>
    </row>
    <row r="7" spans="1:17" x14ac:dyDescent="0.15">
      <c r="B7" s="9">
        <v>3</v>
      </c>
      <c r="E7" s="43"/>
      <c r="F7" s="36"/>
      <c r="G7" s="54"/>
      <c r="H7" s="18"/>
      <c r="I7" s="18"/>
      <c r="J7" s="18"/>
      <c r="K7" s="18"/>
      <c r="L7" s="43"/>
      <c r="M7" s="36"/>
      <c r="N7" s="37"/>
      <c r="O7" s="44"/>
    </row>
    <row r="8" spans="1:17" x14ac:dyDescent="0.15">
      <c r="B8" s="9">
        <v>4</v>
      </c>
      <c r="E8" s="43"/>
      <c r="F8" s="36"/>
      <c r="G8" s="54"/>
      <c r="H8" s="18"/>
      <c r="I8" s="18"/>
      <c r="J8" s="18"/>
      <c r="K8" s="18"/>
      <c r="L8" s="43"/>
      <c r="M8" s="36"/>
      <c r="N8" s="37"/>
      <c r="O8" s="44"/>
    </row>
    <row r="9" spans="1:17" x14ac:dyDescent="0.15">
      <c r="B9" s="9">
        <v>5</v>
      </c>
      <c r="E9" s="43"/>
      <c r="F9" s="36"/>
      <c r="G9" s="54"/>
      <c r="H9" s="18"/>
      <c r="I9" s="18"/>
      <c r="J9" s="18"/>
      <c r="K9" s="18"/>
      <c r="L9" s="43"/>
      <c r="M9" s="36"/>
      <c r="N9" s="37"/>
      <c r="O9" s="44"/>
    </row>
    <row r="10" spans="1:17" x14ac:dyDescent="0.15">
      <c r="B10" s="9">
        <v>6</v>
      </c>
      <c r="E10" s="43"/>
      <c r="F10" s="36"/>
      <c r="G10" s="54"/>
      <c r="H10" s="18"/>
      <c r="I10" s="18"/>
      <c r="J10" s="18"/>
      <c r="K10" s="18"/>
      <c r="L10" s="43"/>
      <c r="M10" s="36"/>
      <c r="N10" s="37"/>
      <c r="O10" s="44"/>
    </row>
    <row r="11" spans="1:17" x14ac:dyDescent="0.15">
      <c r="B11" s="9">
        <v>7</v>
      </c>
      <c r="E11" s="43"/>
      <c r="F11" s="36"/>
      <c r="G11" s="54"/>
      <c r="H11" s="18"/>
      <c r="I11" s="18"/>
      <c r="J11" s="18"/>
      <c r="K11" s="18"/>
      <c r="L11" s="43"/>
      <c r="M11" s="36"/>
      <c r="N11" s="37"/>
      <c r="O11" s="44"/>
    </row>
    <row r="12" spans="1:17" x14ac:dyDescent="0.15">
      <c r="B12" s="9">
        <v>8</v>
      </c>
      <c r="E12" s="43"/>
      <c r="F12" s="36"/>
      <c r="G12" s="54"/>
      <c r="H12" s="18"/>
      <c r="I12" s="18"/>
      <c r="J12" s="18"/>
      <c r="K12" s="18"/>
      <c r="L12" s="43"/>
      <c r="M12" s="36"/>
      <c r="N12" s="37"/>
      <c r="O12" s="44"/>
    </row>
    <row r="13" spans="1:17" x14ac:dyDescent="0.15">
      <c r="B13" s="9">
        <v>9</v>
      </c>
      <c r="E13" s="43"/>
      <c r="F13" s="36"/>
      <c r="G13" s="54"/>
      <c r="H13" s="18"/>
      <c r="I13" s="18"/>
      <c r="J13" s="18"/>
      <c r="K13" s="18"/>
      <c r="L13" s="43"/>
      <c r="M13" s="36"/>
      <c r="N13" s="37"/>
      <c r="O13" s="44"/>
    </row>
    <row r="14" spans="1:17" x14ac:dyDescent="0.15">
      <c r="B14" s="9">
        <v>10</v>
      </c>
      <c r="E14" s="43"/>
      <c r="F14" s="36"/>
      <c r="G14" s="54"/>
      <c r="H14" s="18"/>
      <c r="I14" s="18"/>
      <c r="J14" s="18"/>
      <c r="K14" s="18"/>
      <c r="L14" s="43"/>
      <c r="M14" s="36"/>
      <c r="N14" s="37"/>
      <c r="O14" s="44"/>
    </row>
    <row r="15" spans="1:17" x14ac:dyDescent="0.15">
      <c r="B15" s="9">
        <v>11</v>
      </c>
      <c r="E15" s="43"/>
      <c r="F15" s="36"/>
      <c r="G15" s="54"/>
      <c r="H15" s="18"/>
      <c r="I15" s="18"/>
      <c r="J15" s="18"/>
      <c r="K15" s="18"/>
      <c r="L15" s="43"/>
      <c r="M15" s="36"/>
      <c r="N15" s="37"/>
      <c r="O15" s="44"/>
    </row>
    <row r="16" spans="1:17" x14ac:dyDescent="0.15">
      <c r="B16" s="9">
        <v>12</v>
      </c>
      <c r="E16" s="43"/>
      <c r="F16" s="36"/>
      <c r="G16" s="54"/>
      <c r="H16" s="18"/>
      <c r="I16" s="18"/>
      <c r="J16" s="18"/>
      <c r="K16" s="18"/>
      <c r="L16" s="43"/>
      <c r="M16" s="36"/>
      <c r="N16" s="37"/>
      <c r="O16" s="44"/>
    </row>
    <row r="17" spans="2:15" x14ac:dyDescent="0.15">
      <c r="B17" s="9">
        <v>13</v>
      </c>
      <c r="E17" s="43"/>
      <c r="F17" s="36"/>
      <c r="G17" s="54"/>
      <c r="H17" s="18"/>
      <c r="I17" s="18"/>
      <c r="J17" s="18"/>
      <c r="K17" s="18"/>
      <c r="L17" s="43"/>
      <c r="M17" s="36"/>
      <c r="N17" s="37"/>
      <c r="O17" s="44"/>
    </row>
    <row r="18" spans="2:15" x14ac:dyDescent="0.15">
      <c r="B18" s="9">
        <v>14</v>
      </c>
      <c r="E18" s="43"/>
      <c r="F18" s="36"/>
      <c r="G18" s="54"/>
      <c r="H18" s="18"/>
      <c r="I18" s="18"/>
      <c r="J18" s="18"/>
      <c r="K18" s="18"/>
      <c r="L18" s="43"/>
      <c r="M18" s="36"/>
      <c r="N18" s="37"/>
      <c r="O18" s="44"/>
    </row>
    <row r="19" spans="2:15" x14ac:dyDescent="0.15">
      <c r="B19" s="9">
        <v>15</v>
      </c>
      <c r="E19" s="43"/>
      <c r="F19" s="36"/>
      <c r="G19" s="54"/>
      <c r="H19" s="18"/>
      <c r="I19" s="18"/>
      <c r="J19" s="18"/>
      <c r="K19" s="18"/>
      <c r="L19" s="43"/>
      <c r="M19" s="36"/>
      <c r="N19" s="37"/>
      <c r="O19" s="44"/>
    </row>
    <row r="20" spans="2:15" x14ac:dyDescent="0.15">
      <c r="B20" s="9">
        <v>16</v>
      </c>
      <c r="E20" s="43"/>
      <c r="F20" s="36"/>
      <c r="G20" s="54"/>
      <c r="H20" s="18"/>
      <c r="I20" s="18"/>
      <c r="J20" s="18"/>
      <c r="K20" s="18"/>
      <c r="L20" s="43"/>
      <c r="M20" s="36"/>
      <c r="N20" s="37"/>
      <c r="O20" s="44"/>
    </row>
    <row r="21" spans="2:15" x14ac:dyDescent="0.15">
      <c r="B21" s="9">
        <v>17</v>
      </c>
      <c r="E21" s="43"/>
      <c r="F21" s="36"/>
      <c r="G21" s="54"/>
      <c r="H21" s="18"/>
      <c r="I21" s="18"/>
      <c r="J21" s="18"/>
      <c r="K21" s="18"/>
      <c r="L21" s="43"/>
      <c r="M21" s="36"/>
      <c r="N21" s="37"/>
      <c r="O21" s="44"/>
    </row>
    <row r="22" spans="2:15" x14ac:dyDescent="0.15">
      <c r="B22" s="9">
        <v>18</v>
      </c>
      <c r="E22" s="43"/>
      <c r="F22" s="36"/>
      <c r="G22" s="54"/>
      <c r="H22" s="18"/>
      <c r="I22" s="18"/>
      <c r="J22" s="18"/>
      <c r="K22" s="18"/>
      <c r="L22" s="43"/>
      <c r="M22" s="36"/>
      <c r="N22" s="37"/>
      <c r="O22" s="44"/>
    </row>
    <row r="23" spans="2:15" x14ac:dyDescent="0.15">
      <c r="B23" s="9">
        <v>19</v>
      </c>
      <c r="E23" s="43"/>
      <c r="F23" s="36"/>
      <c r="G23" s="54"/>
      <c r="H23" s="18"/>
      <c r="I23" s="18"/>
      <c r="J23" s="18"/>
      <c r="K23" s="18"/>
      <c r="L23" s="43"/>
      <c r="M23" s="36"/>
      <c r="N23" s="37"/>
      <c r="O23" s="44"/>
    </row>
    <row r="24" spans="2:15" x14ac:dyDescent="0.15">
      <c r="B24" s="9">
        <v>20</v>
      </c>
      <c r="E24" s="43"/>
      <c r="F24" s="36"/>
      <c r="G24" s="54"/>
      <c r="H24" s="18"/>
      <c r="I24" s="18"/>
      <c r="J24" s="18"/>
      <c r="K24" s="18"/>
      <c r="L24" s="43"/>
      <c r="M24" s="36"/>
      <c r="N24" s="37"/>
      <c r="O24" s="44"/>
    </row>
    <row r="25" spans="2:15" x14ac:dyDescent="0.15">
      <c r="B25" s="9">
        <v>21</v>
      </c>
      <c r="E25" s="43"/>
      <c r="F25" s="36"/>
      <c r="G25" s="54"/>
      <c r="H25" s="18"/>
      <c r="I25" s="18"/>
      <c r="J25" s="18"/>
      <c r="K25" s="18"/>
      <c r="L25" s="43"/>
      <c r="M25" s="36"/>
      <c r="N25" s="37"/>
      <c r="O25" s="44"/>
    </row>
    <row r="26" spans="2:15" x14ac:dyDescent="0.15">
      <c r="B26" s="9">
        <v>22</v>
      </c>
      <c r="E26" s="43"/>
      <c r="F26" s="36"/>
      <c r="G26" s="54"/>
      <c r="H26" s="18"/>
      <c r="I26" s="18"/>
      <c r="J26" s="18"/>
      <c r="K26" s="18"/>
      <c r="L26" s="43"/>
      <c r="M26" s="36"/>
      <c r="N26" s="37"/>
      <c r="O26" s="44"/>
    </row>
    <row r="27" spans="2:15" x14ac:dyDescent="0.15">
      <c r="B27" s="9">
        <v>23</v>
      </c>
      <c r="E27" s="43"/>
      <c r="F27" s="36"/>
      <c r="G27" s="54"/>
      <c r="H27" s="18"/>
      <c r="I27" s="18"/>
      <c r="J27" s="18"/>
      <c r="K27" s="18"/>
      <c r="L27" s="43"/>
      <c r="M27" s="36"/>
      <c r="N27" s="37"/>
      <c r="O27" s="44"/>
    </row>
    <row r="28" spans="2:15" x14ac:dyDescent="0.15">
      <c r="B28" s="9">
        <v>24</v>
      </c>
      <c r="E28" s="43"/>
      <c r="F28" s="36"/>
      <c r="G28" s="54"/>
      <c r="H28" s="18"/>
      <c r="I28" s="18"/>
      <c r="J28" s="18"/>
      <c r="K28" s="18"/>
      <c r="L28" s="43"/>
      <c r="M28" s="36"/>
      <c r="N28" s="37"/>
      <c r="O28" s="44"/>
    </row>
    <row r="29" spans="2:15" x14ac:dyDescent="0.15">
      <c r="B29" s="9">
        <v>25</v>
      </c>
      <c r="E29" s="43"/>
      <c r="F29" s="36"/>
      <c r="G29" s="54"/>
      <c r="H29" s="18"/>
      <c r="I29" s="18"/>
      <c r="J29" s="18"/>
      <c r="K29" s="18"/>
      <c r="L29" s="43"/>
      <c r="M29" s="36"/>
      <c r="N29" s="37"/>
      <c r="O29" s="44"/>
    </row>
    <row r="30" spans="2:15" x14ac:dyDescent="0.15">
      <c r="B30" s="9">
        <v>26</v>
      </c>
      <c r="E30" s="43"/>
      <c r="F30" s="36"/>
      <c r="G30" s="54"/>
      <c r="H30" s="18"/>
      <c r="I30" s="18"/>
      <c r="J30" s="18"/>
      <c r="K30" s="18"/>
      <c r="L30" s="43"/>
      <c r="M30" s="36"/>
      <c r="N30" s="37"/>
      <c r="O30" s="44"/>
    </row>
    <row r="31" spans="2:15" x14ac:dyDescent="0.15">
      <c r="B31" s="9">
        <v>27</v>
      </c>
      <c r="E31" s="43"/>
      <c r="F31" s="36"/>
      <c r="G31" s="54"/>
      <c r="H31" s="18"/>
      <c r="I31" s="18"/>
      <c r="J31" s="18"/>
      <c r="K31" s="18"/>
      <c r="L31" s="43"/>
      <c r="M31" s="36"/>
      <c r="N31" s="37"/>
      <c r="O31" s="44"/>
    </row>
    <row r="32" spans="2:15" x14ac:dyDescent="0.15">
      <c r="B32" s="9">
        <v>28</v>
      </c>
      <c r="E32" s="43"/>
      <c r="F32" s="36"/>
      <c r="G32" s="54"/>
      <c r="H32" s="18"/>
      <c r="I32" s="18"/>
      <c r="J32" s="18"/>
      <c r="K32" s="18"/>
      <c r="L32" s="43"/>
      <c r="M32" s="36"/>
      <c r="N32" s="37"/>
      <c r="O32" s="44"/>
    </row>
    <row r="33" spans="2:15" x14ac:dyDescent="0.15">
      <c r="B33" s="9">
        <v>29</v>
      </c>
      <c r="E33" s="43"/>
      <c r="F33" s="36"/>
      <c r="G33" s="54"/>
      <c r="H33" s="18"/>
      <c r="I33" s="18"/>
      <c r="J33" s="18"/>
      <c r="K33" s="18"/>
      <c r="L33" s="43"/>
      <c r="M33" s="36"/>
      <c r="N33" s="37"/>
      <c r="O33" s="44"/>
    </row>
    <row r="34" spans="2:15" x14ac:dyDescent="0.15">
      <c r="B34" s="9">
        <v>30</v>
      </c>
      <c r="E34" s="43"/>
      <c r="F34" s="36"/>
      <c r="G34" s="54"/>
      <c r="H34" s="18"/>
      <c r="I34" s="18"/>
      <c r="J34" s="18"/>
      <c r="K34" s="18"/>
      <c r="L34" s="43"/>
      <c r="M34" s="36"/>
      <c r="N34" s="37"/>
      <c r="O34" s="44"/>
    </row>
    <row r="35" spans="2:15" x14ac:dyDescent="0.15">
      <c r="B35" s="9">
        <v>31</v>
      </c>
      <c r="E35" s="43"/>
      <c r="F35" s="36"/>
      <c r="G35" s="54"/>
      <c r="H35" s="18"/>
      <c r="I35" s="18"/>
      <c r="J35" s="18"/>
      <c r="K35" s="18"/>
      <c r="L35" s="43"/>
      <c r="M35" s="36"/>
      <c r="N35" s="37"/>
      <c r="O35" s="44"/>
    </row>
    <row r="36" spans="2:15" x14ac:dyDescent="0.15">
      <c r="B36" s="9">
        <v>32</v>
      </c>
      <c r="E36" s="43"/>
      <c r="F36" s="36"/>
      <c r="G36" s="54"/>
      <c r="H36" s="18"/>
      <c r="I36" s="18"/>
      <c r="J36" s="18"/>
      <c r="K36" s="18"/>
      <c r="L36" s="43"/>
      <c r="M36" s="36"/>
      <c r="N36" s="37"/>
      <c r="O36" s="44"/>
    </row>
    <row r="37" spans="2:15" x14ac:dyDescent="0.15">
      <c r="B37" s="9">
        <v>33</v>
      </c>
      <c r="E37" s="43"/>
      <c r="F37" s="36"/>
      <c r="G37" s="54"/>
      <c r="H37" s="18"/>
      <c r="I37" s="18"/>
      <c r="J37" s="18"/>
      <c r="K37" s="18"/>
      <c r="L37" s="43"/>
      <c r="M37" s="36"/>
      <c r="N37" s="37"/>
      <c r="O37" s="44"/>
    </row>
    <row r="38" spans="2:15" x14ac:dyDescent="0.15">
      <c r="B38" s="9">
        <v>34</v>
      </c>
      <c r="E38" s="43"/>
      <c r="F38" s="36"/>
      <c r="G38" s="54"/>
      <c r="H38" s="18"/>
      <c r="I38" s="18"/>
      <c r="J38" s="18"/>
      <c r="K38" s="18"/>
      <c r="L38" s="43"/>
      <c r="M38" s="36"/>
      <c r="N38" s="37"/>
      <c r="O38" s="44"/>
    </row>
    <row r="39" spans="2:15" x14ac:dyDescent="0.15">
      <c r="B39" s="9">
        <v>35</v>
      </c>
      <c r="E39" s="43"/>
      <c r="F39" s="36"/>
      <c r="G39" s="54"/>
      <c r="H39" s="18"/>
      <c r="I39" s="18"/>
      <c r="J39" s="18"/>
      <c r="K39" s="18"/>
      <c r="L39" s="43"/>
      <c r="M39" s="36"/>
      <c r="N39" s="37"/>
      <c r="O39" s="44"/>
    </row>
    <row r="40" spans="2:15" x14ac:dyDescent="0.15">
      <c r="B40" s="9">
        <v>36</v>
      </c>
      <c r="E40" s="43"/>
      <c r="F40" s="36"/>
      <c r="G40" s="54"/>
      <c r="H40" s="18"/>
      <c r="I40" s="18"/>
      <c r="J40" s="18"/>
      <c r="K40" s="18"/>
      <c r="L40" s="43"/>
      <c r="M40" s="36"/>
      <c r="N40" s="37"/>
      <c r="O40" s="44"/>
    </row>
    <row r="41" spans="2:15" x14ac:dyDescent="0.15">
      <c r="B41" s="9">
        <v>37</v>
      </c>
      <c r="E41" s="43"/>
      <c r="F41" s="36"/>
      <c r="G41" s="54"/>
      <c r="H41" s="18"/>
      <c r="I41" s="18"/>
      <c r="J41" s="18"/>
      <c r="K41" s="18"/>
      <c r="L41" s="43"/>
      <c r="M41" s="36"/>
      <c r="N41" s="37"/>
      <c r="O41" s="44"/>
    </row>
    <row r="42" spans="2:15" x14ac:dyDescent="0.15">
      <c r="B42" s="9">
        <v>38</v>
      </c>
      <c r="E42" s="43"/>
      <c r="F42" s="36"/>
      <c r="G42" s="54"/>
      <c r="H42" s="18"/>
      <c r="I42" s="18"/>
      <c r="J42" s="18"/>
      <c r="K42" s="18"/>
      <c r="L42" s="43"/>
      <c r="M42" s="36"/>
      <c r="N42" s="37"/>
      <c r="O42" s="44"/>
    </row>
    <row r="43" spans="2:15" x14ac:dyDescent="0.15">
      <c r="B43" s="9">
        <v>39</v>
      </c>
      <c r="E43" s="43"/>
      <c r="F43" s="36"/>
      <c r="G43" s="54"/>
      <c r="H43" s="18"/>
      <c r="I43" s="18"/>
      <c r="J43" s="18"/>
      <c r="K43" s="18"/>
      <c r="L43" s="43"/>
      <c r="M43" s="36"/>
      <c r="N43" s="37"/>
      <c r="O43" s="44"/>
    </row>
    <row r="44" spans="2:15" x14ac:dyDescent="0.15">
      <c r="B44" s="9">
        <v>40</v>
      </c>
      <c r="E44" s="43"/>
      <c r="F44" s="36"/>
      <c r="G44" s="54"/>
      <c r="H44" s="18"/>
      <c r="I44" s="18"/>
      <c r="J44" s="18"/>
      <c r="K44" s="18"/>
      <c r="L44" s="43"/>
      <c r="M44" s="36"/>
      <c r="N44" s="37"/>
      <c r="O44" s="44"/>
    </row>
    <row r="45" spans="2:15" x14ac:dyDescent="0.15">
      <c r="B45" s="9">
        <v>41</v>
      </c>
      <c r="E45" s="43"/>
      <c r="F45" s="36"/>
      <c r="G45" s="54"/>
      <c r="H45" s="18"/>
      <c r="I45" s="18"/>
      <c r="J45" s="18"/>
      <c r="K45" s="18"/>
      <c r="L45" s="43"/>
      <c r="M45" s="36"/>
      <c r="N45" s="37"/>
      <c r="O45" s="44"/>
    </row>
    <row r="46" spans="2:15" x14ac:dyDescent="0.15">
      <c r="B46" s="9">
        <v>42</v>
      </c>
      <c r="E46" s="43"/>
      <c r="F46" s="36"/>
      <c r="G46" s="54"/>
      <c r="H46" s="18"/>
      <c r="I46" s="18"/>
      <c r="J46" s="18"/>
      <c r="K46" s="18"/>
      <c r="L46" s="43"/>
      <c r="M46" s="36"/>
      <c r="N46" s="37"/>
      <c r="O46" s="44"/>
    </row>
    <row r="47" spans="2:15" x14ac:dyDescent="0.15">
      <c r="B47" s="9">
        <v>43</v>
      </c>
      <c r="E47" s="43"/>
      <c r="F47" s="36"/>
      <c r="G47" s="54"/>
      <c r="H47" s="18"/>
      <c r="I47" s="18"/>
      <c r="J47" s="18"/>
      <c r="K47" s="18"/>
      <c r="L47" s="43"/>
      <c r="M47" s="36"/>
      <c r="N47" s="37"/>
      <c r="O47" s="44"/>
    </row>
    <row r="48" spans="2:15" x14ac:dyDescent="0.15">
      <c r="B48" s="9">
        <v>44</v>
      </c>
      <c r="E48" s="43"/>
      <c r="F48" s="36"/>
      <c r="G48" s="54"/>
      <c r="H48" s="18"/>
      <c r="I48" s="18"/>
      <c r="J48" s="18"/>
      <c r="K48" s="18"/>
      <c r="L48" s="43"/>
      <c r="M48" s="36"/>
      <c r="N48" s="37"/>
      <c r="O48" s="44"/>
    </row>
    <row r="49" spans="2:15" x14ac:dyDescent="0.15">
      <c r="B49" s="9">
        <v>45</v>
      </c>
      <c r="E49" s="43"/>
      <c r="F49" s="36"/>
      <c r="G49" s="54"/>
      <c r="H49" s="18"/>
      <c r="I49" s="18"/>
      <c r="J49" s="18"/>
      <c r="K49" s="18"/>
      <c r="L49" s="43"/>
      <c r="M49" s="36"/>
      <c r="N49" s="37"/>
      <c r="O49" s="44"/>
    </row>
    <row r="50" spans="2:15" x14ac:dyDescent="0.15">
      <c r="B50" s="9">
        <v>46</v>
      </c>
      <c r="E50" s="43"/>
      <c r="F50" s="36"/>
      <c r="G50" s="54"/>
      <c r="H50" s="18"/>
      <c r="I50" s="18"/>
      <c r="J50" s="18"/>
      <c r="K50" s="18"/>
      <c r="L50" s="43"/>
      <c r="M50" s="36"/>
      <c r="N50" s="37"/>
      <c r="O50" s="44"/>
    </row>
    <row r="51" spans="2:15" x14ac:dyDescent="0.15">
      <c r="B51" s="9">
        <v>47</v>
      </c>
      <c r="E51" s="43"/>
      <c r="F51" s="36"/>
      <c r="G51" s="54"/>
      <c r="H51" s="18"/>
      <c r="I51" s="18"/>
      <c r="J51" s="18"/>
      <c r="K51" s="18"/>
      <c r="L51" s="43"/>
      <c r="M51" s="36"/>
      <c r="N51" s="37"/>
      <c r="O51" s="44"/>
    </row>
    <row r="52" spans="2:15" x14ac:dyDescent="0.15">
      <c r="B52" s="9">
        <v>48</v>
      </c>
      <c r="E52" s="43"/>
      <c r="F52" s="36"/>
      <c r="G52" s="54"/>
      <c r="H52" s="18"/>
      <c r="I52" s="18"/>
      <c r="J52" s="18"/>
      <c r="K52" s="18"/>
      <c r="L52" s="43"/>
      <c r="M52" s="36"/>
      <c r="N52" s="37"/>
      <c r="O52" s="44"/>
    </row>
    <row r="53" spans="2:15" x14ac:dyDescent="0.15">
      <c r="B53" s="9">
        <v>49</v>
      </c>
      <c r="E53" s="43"/>
      <c r="F53" s="36"/>
      <c r="G53" s="54"/>
      <c r="H53" s="18"/>
      <c r="I53" s="18"/>
      <c r="J53" s="18"/>
      <c r="K53" s="18"/>
      <c r="L53" s="43"/>
      <c r="M53" s="36"/>
      <c r="N53" s="37"/>
      <c r="O53" s="44"/>
    </row>
    <row r="54" spans="2:15" x14ac:dyDescent="0.15">
      <c r="B54" s="9">
        <v>50</v>
      </c>
      <c r="E54" s="43"/>
      <c r="F54" s="36"/>
      <c r="G54" s="55"/>
      <c r="H54" s="18"/>
      <c r="I54" s="18"/>
      <c r="J54" s="18"/>
      <c r="K54" s="18"/>
      <c r="L54" s="43"/>
      <c r="M54" s="36"/>
      <c r="N54" s="37"/>
      <c r="O54" s="44"/>
    </row>
    <row r="55" spans="2:15" x14ac:dyDescent="0.15">
      <c r="B55" s="9">
        <v>51</v>
      </c>
      <c r="E55" s="43"/>
      <c r="F55" s="36"/>
      <c r="G55" s="54"/>
      <c r="H55" s="18"/>
      <c r="I55" s="18"/>
      <c r="J55" s="18"/>
      <c r="K55" s="18"/>
      <c r="L55" s="43"/>
      <c r="M55" s="36"/>
      <c r="N55" s="37"/>
      <c r="O55" s="44"/>
    </row>
    <row r="56" spans="2:15" x14ac:dyDescent="0.15">
      <c r="B56" s="9">
        <v>52</v>
      </c>
      <c r="E56" s="43"/>
      <c r="F56" s="36"/>
      <c r="G56" s="54"/>
      <c r="H56" s="18"/>
      <c r="I56" s="18"/>
      <c r="J56" s="18"/>
      <c r="K56" s="18"/>
      <c r="L56" s="43"/>
      <c r="M56" s="36"/>
      <c r="N56" s="37"/>
      <c r="O56" s="44"/>
    </row>
    <row r="57" spans="2:15" x14ac:dyDescent="0.15">
      <c r="B57" s="9">
        <v>53</v>
      </c>
      <c r="E57" s="43"/>
      <c r="F57" s="36"/>
      <c r="G57" s="54"/>
      <c r="H57" s="18"/>
      <c r="I57" s="18"/>
      <c r="J57" s="18"/>
      <c r="K57" s="18"/>
      <c r="L57" s="43"/>
      <c r="M57" s="36"/>
      <c r="N57" s="37"/>
      <c r="O57" s="44"/>
    </row>
    <row r="58" spans="2:15" x14ac:dyDescent="0.15">
      <c r="B58" s="9">
        <v>54</v>
      </c>
      <c r="E58" s="43"/>
      <c r="F58" s="36"/>
      <c r="G58" s="54"/>
      <c r="H58" s="18"/>
      <c r="I58" s="18"/>
      <c r="J58" s="18"/>
      <c r="K58" s="18"/>
      <c r="L58" s="45"/>
      <c r="M58" s="36"/>
      <c r="N58" s="37"/>
      <c r="O58" s="44"/>
    </row>
    <row r="59" spans="2:15" x14ac:dyDescent="0.15">
      <c r="B59" s="9">
        <v>55</v>
      </c>
      <c r="E59" s="43"/>
      <c r="F59" s="36"/>
      <c r="G59" s="54"/>
      <c r="H59" s="18"/>
      <c r="I59" s="18"/>
      <c r="J59" s="18"/>
      <c r="K59" s="18"/>
      <c r="L59" s="45"/>
      <c r="M59" s="36"/>
      <c r="N59" s="37"/>
      <c r="O59" s="44"/>
    </row>
    <row r="60" spans="2:15" x14ac:dyDescent="0.15">
      <c r="B60" s="9">
        <v>56</v>
      </c>
      <c r="E60" s="43"/>
      <c r="F60" s="36"/>
      <c r="G60" s="56"/>
      <c r="H60" s="18"/>
      <c r="I60" s="18"/>
      <c r="J60" s="18"/>
      <c r="K60" s="18"/>
      <c r="L60" s="45"/>
      <c r="M60" s="36"/>
      <c r="N60" s="37"/>
      <c r="O60" s="44"/>
    </row>
    <row r="61" spans="2:15" x14ac:dyDescent="0.15">
      <c r="B61" s="9">
        <v>57</v>
      </c>
      <c r="E61" s="43"/>
      <c r="F61" s="36"/>
      <c r="G61" s="56"/>
      <c r="H61" s="18"/>
      <c r="I61" s="18"/>
      <c r="J61" s="18"/>
      <c r="K61" s="18"/>
      <c r="L61" s="45"/>
      <c r="M61" s="36"/>
      <c r="N61" s="37"/>
      <c r="O61" s="44"/>
    </row>
    <row r="62" spans="2:15" x14ac:dyDescent="0.15">
      <c r="B62" s="9">
        <v>58</v>
      </c>
      <c r="E62" s="43"/>
      <c r="F62" s="36"/>
      <c r="G62" s="56"/>
      <c r="H62" s="18"/>
      <c r="I62" s="18"/>
      <c r="J62" s="18"/>
      <c r="K62" s="18"/>
      <c r="L62" s="45"/>
      <c r="M62" s="36"/>
      <c r="N62" s="37"/>
      <c r="O62" s="44"/>
    </row>
    <row r="63" spans="2:15" x14ac:dyDescent="0.15">
      <c r="B63" s="9">
        <v>59</v>
      </c>
      <c r="E63" s="43"/>
      <c r="F63" s="36"/>
      <c r="G63" s="56"/>
      <c r="H63" s="18"/>
      <c r="I63" s="18"/>
      <c r="J63" s="18"/>
      <c r="K63" s="18"/>
      <c r="L63" s="45"/>
      <c r="M63" s="36"/>
      <c r="N63" s="37"/>
      <c r="O63" s="44"/>
    </row>
    <row r="64" spans="2:15" x14ac:dyDescent="0.15">
      <c r="B64" s="9">
        <v>60</v>
      </c>
      <c r="E64" s="43"/>
      <c r="F64" s="36"/>
      <c r="G64" s="56"/>
      <c r="H64" s="18"/>
      <c r="I64" s="18"/>
      <c r="J64" s="18"/>
      <c r="K64" s="18"/>
      <c r="L64" s="45"/>
      <c r="M64" s="36"/>
      <c r="N64" s="37"/>
      <c r="O64" s="44"/>
    </row>
    <row r="65" spans="2:15" x14ac:dyDescent="0.15">
      <c r="B65" s="9">
        <v>61</v>
      </c>
      <c r="E65" s="43"/>
      <c r="F65" s="36"/>
      <c r="G65" s="56"/>
      <c r="H65" s="18"/>
      <c r="I65" s="18"/>
      <c r="J65" s="18"/>
      <c r="K65" s="18"/>
      <c r="L65" s="45"/>
      <c r="M65" s="36"/>
      <c r="N65" s="37"/>
      <c r="O65" s="44"/>
    </row>
    <row r="66" spans="2:15" x14ac:dyDescent="0.15">
      <c r="B66" s="9">
        <v>62</v>
      </c>
      <c r="E66" s="43"/>
      <c r="F66" s="36"/>
      <c r="G66" s="56"/>
      <c r="H66" s="18"/>
      <c r="I66" s="18"/>
      <c r="J66" s="18"/>
      <c r="K66" s="18"/>
      <c r="L66" s="45"/>
      <c r="M66" s="36"/>
      <c r="N66" s="37"/>
      <c r="O66" s="44"/>
    </row>
    <row r="67" spans="2:15" x14ac:dyDescent="0.15">
      <c r="B67" s="9">
        <v>63</v>
      </c>
      <c r="E67" s="43"/>
      <c r="F67" s="36"/>
      <c r="G67" s="56"/>
      <c r="H67" s="18"/>
      <c r="I67" s="18"/>
      <c r="J67" s="18"/>
      <c r="K67" s="18"/>
      <c r="L67" s="45"/>
      <c r="M67" s="36"/>
      <c r="N67" s="37"/>
      <c r="O67" s="44"/>
    </row>
    <row r="68" spans="2:15" x14ac:dyDescent="0.15">
      <c r="B68" s="9">
        <v>64</v>
      </c>
      <c r="E68" s="43"/>
      <c r="F68" s="36"/>
      <c r="G68" s="56"/>
      <c r="H68" s="18"/>
      <c r="I68" s="18"/>
      <c r="J68" s="18"/>
      <c r="K68" s="18"/>
      <c r="L68" s="45"/>
      <c r="M68" s="36"/>
      <c r="N68" s="37"/>
      <c r="O68" s="44"/>
    </row>
    <row r="69" spans="2:15" x14ac:dyDescent="0.15">
      <c r="B69" s="9">
        <v>65</v>
      </c>
      <c r="E69" s="43"/>
      <c r="F69" s="36"/>
      <c r="G69" s="56"/>
      <c r="H69" s="18"/>
      <c r="I69" s="18"/>
      <c r="J69" s="18"/>
      <c r="K69" s="18"/>
      <c r="L69" s="45"/>
      <c r="M69" s="36"/>
      <c r="N69" s="37"/>
      <c r="O69" s="44"/>
    </row>
    <row r="70" spans="2:15" x14ac:dyDescent="0.15">
      <c r="B70" s="9">
        <v>66</v>
      </c>
      <c r="E70" s="43"/>
      <c r="F70" s="36"/>
      <c r="G70" s="56"/>
      <c r="H70" s="18"/>
      <c r="I70" s="18"/>
      <c r="J70" s="18"/>
      <c r="K70" s="18"/>
      <c r="L70" s="45"/>
      <c r="M70" s="36"/>
      <c r="N70" s="37"/>
      <c r="O70" s="44"/>
    </row>
    <row r="71" spans="2:15" x14ac:dyDescent="0.15">
      <c r="B71" s="9">
        <v>67</v>
      </c>
      <c r="E71" s="43"/>
      <c r="F71" s="36"/>
      <c r="G71" s="56"/>
      <c r="H71" s="18"/>
      <c r="I71" s="18"/>
      <c r="J71" s="18"/>
      <c r="K71" s="18"/>
      <c r="L71" s="45"/>
      <c r="M71" s="36"/>
      <c r="N71" s="37"/>
      <c r="O71" s="44"/>
    </row>
    <row r="72" spans="2:15" x14ac:dyDescent="0.15">
      <c r="B72" s="9">
        <v>68</v>
      </c>
      <c r="E72" s="43"/>
      <c r="F72" s="36"/>
      <c r="G72" s="56"/>
      <c r="H72" s="18"/>
      <c r="I72" s="18"/>
      <c r="J72" s="18"/>
      <c r="K72" s="18"/>
      <c r="L72" s="45"/>
      <c r="M72" s="36"/>
      <c r="N72" s="37"/>
      <c r="O72" s="44"/>
    </row>
    <row r="73" spans="2:15" x14ac:dyDescent="0.15">
      <c r="B73" s="9">
        <v>69</v>
      </c>
      <c r="E73" s="43"/>
      <c r="F73" s="36"/>
      <c r="G73" s="56"/>
      <c r="H73" s="18"/>
      <c r="I73" s="18"/>
      <c r="J73" s="18"/>
      <c r="K73" s="18"/>
      <c r="L73" s="45"/>
      <c r="M73" s="36"/>
      <c r="N73" s="37"/>
      <c r="O73" s="44"/>
    </row>
    <row r="74" spans="2:15" x14ac:dyDescent="0.15">
      <c r="B74" s="9">
        <v>70</v>
      </c>
      <c r="E74" s="43"/>
      <c r="F74" s="36"/>
      <c r="G74" s="56"/>
      <c r="H74" s="18"/>
      <c r="I74" s="18"/>
      <c r="J74" s="18"/>
      <c r="K74" s="18"/>
      <c r="L74" s="45"/>
      <c r="M74" s="36"/>
      <c r="N74" s="37"/>
      <c r="O74" s="44"/>
    </row>
    <row r="75" spans="2:15" x14ac:dyDescent="0.15">
      <c r="B75" s="9">
        <v>71</v>
      </c>
      <c r="E75" s="43"/>
      <c r="F75" s="36"/>
      <c r="G75" s="56"/>
      <c r="H75" s="18"/>
      <c r="I75" s="18"/>
      <c r="J75" s="18"/>
      <c r="K75" s="18"/>
      <c r="L75" s="45"/>
      <c r="M75" s="36"/>
      <c r="N75" s="37"/>
      <c r="O75" s="44"/>
    </row>
    <row r="76" spans="2:15" x14ac:dyDescent="0.15">
      <c r="B76" s="9">
        <v>72</v>
      </c>
      <c r="E76" s="43"/>
      <c r="F76" s="36"/>
      <c r="G76" s="56"/>
      <c r="H76" s="18"/>
      <c r="I76" s="18"/>
      <c r="J76" s="18"/>
      <c r="K76" s="18"/>
      <c r="L76" s="45"/>
      <c r="M76" s="36"/>
      <c r="N76" s="37"/>
      <c r="O76" s="44"/>
    </row>
    <row r="77" spans="2:15" x14ac:dyDescent="0.15">
      <c r="B77" s="9">
        <v>73</v>
      </c>
      <c r="E77" s="43"/>
      <c r="F77" s="36"/>
      <c r="G77" s="56"/>
      <c r="H77" s="18"/>
      <c r="I77" s="18"/>
      <c r="J77" s="18"/>
      <c r="K77" s="18"/>
      <c r="L77" s="45"/>
      <c r="M77" s="36"/>
      <c r="N77" s="37"/>
      <c r="O77" s="44"/>
    </row>
    <row r="78" spans="2:15" x14ac:dyDescent="0.15">
      <c r="B78" s="9">
        <v>74</v>
      </c>
      <c r="E78" s="43"/>
      <c r="F78" s="36"/>
      <c r="G78" s="54"/>
      <c r="H78" s="18"/>
      <c r="I78" s="18"/>
      <c r="J78" s="18"/>
      <c r="K78" s="18"/>
      <c r="L78" s="43"/>
      <c r="M78" s="36"/>
      <c r="N78" s="37"/>
      <c r="O78" s="44"/>
    </row>
    <row r="79" spans="2:15" x14ac:dyDescent="0.15">
      <c r="B79" s="9">
        <v>75</v>
      </c>
      <c r="E79" s="43"/>
      <c r="F79" s="36"/>
      <c r="G79" s="54"/>
      <c r="H79" s="18"/>
      <c r="I79" s="18"/>
      <c r="J79" s="18"/>
      <c r="K79" s="18"/>
      <c r="L79" s="43"/>
      <c r="M79" s="36"/>
      <c r="N79" s="37"/>
      <c r="O79" s="44"/>
    </row>
    <row r="80" spans="2:15" x14ac:dyDescent="0.15">
      <c r="B80" s="9">
        <v>76</v>
      </c>
      <c r="E80" s="43"/>
      <c r="F80" s="36"/>
      <c r="G80" s="54"/>
      <c r="H80" s="18"/>
      <c r="I80" s="18"/>
      <c r="J80" s="18"/>
      <c r="K80" s="18"/>
      <c r="L80" s="43"/>
      <c r="M80" s="36"/>
      <c r="N80" s="37"/>
      <c r="O80" s="44"/>
    </row>
    <row r="81" spans="2:15" x14ac:dyDescent="0.2">
      <c r="B81" s="9">
        <v>77</v>
      </c>
      <c r="E81" s="43"/>
      <c r="F81" s="36"/>
      <c r="G81" s="44"/>
      <c r="L81" s="43"/>
      <c r="M81" s="36"/>
      <c r="N81" s="37"/>
      <c r="O81" s="44"/>
    </row>
    <row r="82" spans="2:15" x14ac:dyDescent="0.2">
      <c r="B82" s="9">
        <v>78</v>
      </c>
      <c r="E82" s="43"/>
      <c r="F82" s="36"/>
      <c r="G82" s="44"/>
      <c r="L82" s="43"/>
      <c r="M82" s="36"/>
      <c r="N82" s="37"/>
      <c r="O82" s="44"/>
    </row>
    <row r="83" spans="2:15" x14ac:dyDescent="0.2">
      <c r="B83" s="9">
        <v>79</v>
      </c>
      <c r="E83" s="43"/>
      <c r="F83" s="36"/>
      <c r="G83" s="44"/>
      <c r="L83" s="43"/>
      <c r="M83" s="36"/>
      <c r="N83" s="37"/>
      <c r="O83" s="44"/>
    </row>
    <row r="84" spans="2:15" ht="17" thickBot="1" x14ac:dyDescent="0.25">
      <c r="B84" s="9">
        <v>80</v>
      </c>
      <c r="E84" s="46"/>
      <c r="F84" s="47"/>
      <c r="G84" s="49"/>
      <c r="L84" s="46"/>
      <c r="M84" s="47"/>
      <c r="N84" s="48"/>
      <c r="O84" s="49"/>
    </row>
  </sheetData>
  <mergeCells count="2">
    <mergeCell ref="L3:O3"/>
    <mergeCell ref="E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2942-E2BB-674C-841D-6822F9008FA8}">
  <dimension ref="A1:I85"/>
  <sheetViews>
    <sheetView zoomScale="130" zoomScaleNormal="130" workbookViewId="0">
      <selection activeCell="B33" sqref="B33"/>
    </sheetView>
  </sheetViews>
  <sheetFormatPr baseColWidth="10" defaultRowHeight="16" x14ac:dyDescent="0.2"/>
  <cols>
    <col min="1" max="1" width="10.83203125" style="11"/>
    <col min="2" max="2" width="10.83203125" style="9"/>
    <col min="3" max="3" width="20.83203125" style="11" customWidth="1"/>
    <col min="4" max="4" width="30.6640625" style="11" customWidth="1"/>
    <col min="5" max="16384" width="10.83203125" style="11"/>
  </cols>
  <sheetData>
    <row r="1" spans="1:5" x14ac:dyDescent="0.2">
      <c r="A1" s="21" t="s">
        <v>18</v>
      </c>
    </row>
    <row r="2" spans="1:5" ht="23" x14ac:dyDescent="0.2">
      <c r="C2" s="26" t="s">
        <v>17</v>
      </c>
    </row>
    <row r="4" spans="1:5" s="12" customFormat="1" x14ac:dyDescent="0.2">
      <c r="B4" s="16" t="s">
        <v>0</v>
      </c>
      <c r="C4" s="16" t="s">
        <v>1</v>
      </c>
      <c r="D4" s="16" t="s">
        <v>2</v>
      </c>
      <c r="E4" s="16"/>
    </row>
    <row r="5" spans="1:5" x14ac:dyDescent="0.2">
      <c r="B5" s="9">
        <v>1</v>
      </c>
      <c r="C5" s="23" t="s">
        <v>23</v>
      </c>
    </row>
    <row r="6" spans="1:5" x14ac:dyDescent="0.2">
      <c r="B6" s="9">
        <v>2</v>
      </c>
      <c r="C6" s="33" t="s">
        <v>22</v>
      </c>
    </row>
    <row r="7" spans="1:5" x14ac:dyDescent="0.2">
      <c r="B7" s="9">
        <v>3</v>
      </c>
      <c r="C7" s="23" t="s">
        <v>57</v>
      </c>
    </row>
    <row r="8" spans="1:5" x14ac:dyDescent="0.2">
      <c r="B8" s="9">
        <v>4</v>
      </c>
      <c r="C8" s="23" t="s">
        <v>54</v>
      </c>
    </row>
    <row r="9" spans="1:5" x14ac:dyDescent="0.2">
      <c r="B9" s="9">
        <v>5</v>
      </c>
      <c r="C9" s="23" t="s">
        <v>27</v>
      </c>
    </row>
    <row r="10" spans="1:5" x14ac:dyDescent="0.2">
      <c r="B10" s="9">
        <v>6</v>
      </c>
      <c r="C10" s="23" t="s">
        <v>28</v>
      </c>
    </row>
    <row r="11" spans="1:5" x14ac:dyDescent="0.2">
      <c r="B11" s="9">
        <v>7</v>
      </c>
      <c r="C11" s="23" t="s">
        <v>237</v>
      </c>
    </row>
    <row r="12" spans="1:5" x14ac:dyDescent="0.2">
      <c r="B12" s="9">
        <v>8</v>
      </c>
      <c r="C12" s="23" t="s">
        <v>29</v>
      </c>
    </row>
    <row r="13" spans="1:5" x14ac:dyDescent="0.2">
      <c r="B13" s="9">
        <v>9</v>
      </c>
      <c r="C13" s="23" t="s">
        <v>56</v>
      </c>
    </row>
    <row r="14" spans="1:5" x14ac:dyDescent="0.2">
      <c r="B14" s="9">
        <v>10</v>
      </c>
      <c r="C14" s="23" t="s">
        <v>52</v>
      </c>
    </row>
    <row r="15" spans="1:5" x14ac:dyDescent="0.2">
      <c r="B15" s="9">
        <v>11</v>
      </c>
      <c r="C15" s="23" t="s">
        <v>48</v>
      </c>
    </row>
    <row r="16" spans="1:5" x14ac:dyDescent="0.2">
      <c r="B16" s="9">
        <v>12</v>
      </c>
      <c r="C16" s="23" t="s">
        <v>50</v>
      </c>
    </row>
    <row r="17" spans="2:9" x14ac:dyDescent="0.2">
      <c r="B17" s="9">
        <v>13</v>
      </c>
      <c r="C17" s="23" t="s">
        <v>46</v>
      </c>
    </row>
    <row r="18" spans="2:9" x14ac:dyDescent="0.2">
      <c r="B18" s="9">
        <v>14</v>
      </c>
      <c r="C18" s="33" t="s">
        <v>20</v>
      </c>
      <c r="I18" s="24" t="s">
        <v>4</v>
      </c>
    </row>
    <row r="19" spans="2:9" x14ac:dyDescent="0.2">
      <c r="B19" s="9">
        <v>15</v>
      </c>
      <c r="C19" s="23" t="s">
        <v>24</v>
      </c>
      <c r="I19" s="24" t="s">
        <v>4</v>
      </c>
    </row>
    <row r="20" spans="2:9" x14ac:dyDescent="0.2">
      <c r="B20" s="9">
        <v>16</v>
      </c>
      <c r="C20" s="23" t="s">
        <v>25</v>
      </c>
      <c r="I20" s="24" t="s">
        <v>4</v>
      </c>
    </row>
    <row r="21" spans="2:9" x14ac:dyDescent="0.2">
      <c r="B21" s="9">
        <v>17</v>
      </c>
      <c r="C21" s="23" t="s">
        <v>25</v>
      </c>
      <c r="I21" s="24" t="s">
        <v>4</v>
      </c>
    </row>
    <row r="22" spans="2:9" x14ac:dyDescent="0.2">
      <c r="B22" s="9">
        <v>18</v>
      </c>
      <c r="C22" s="23" t="s">
        <v>45</v>
      </c>
      <c r="I22" s="24" t="s">
        <v>4</v>
      </c>
    </row>
    <row r="23" spans="2:9" x14ac:dyDescent="0.2">
      <c r="B23" s="9">
        <v>19</v>
      </c>
      <c r="C23" s="23" t="s">
        <v>44</v>
      </c>
      <c r="I23" s="24" t="s">
        <v>4</v>
      </c>
    </row>
    <row r="24" spans="2:9" x14ac:dyDescent="0.2">
      <c r="B24" s="9">
        <v>20</v>
      </c>
      <c r="C24" s="25" t="s">
        <v>51</v>
      </c>
      <c r="I24" s="24" t="s">
        <v>4</v>
      </c>
    </row>
    <row r="25" spans="2:9" x14ac:dyDescent="0.2">
      <c r="B25" s="9">
        <v>21</v>
      </c>
      <c r="C25" s="32" t="s">
        <v>47</v>
      </c>
      <c r="I25" s="24" t="s">
        <v>4</v>
      </c>
    </row>
    <row r="26" spans="2:9" x14ac:dyDescent="0.2">
      <c r="B26" s="9">
        <v>22</v>
      </c>
      <c r="C26" s="23" t="s">
        <v>26</v>
      </c>
      <c r="I26" s="24" t="s">
        <v>5</v>
      </c>
    </row>
    <row r="27" spans="2:9" x14ac:dyDescent="0.2">
      <c r="B27" s="9">
        <v>23</v>
      </c>
      <c r="C27" s="32" t="s">
        <v>43</v>
      </c>
      <c r="I27" s="24" t="s">
        <v>4</v>
      </c>
    </row>
    <row r="28" spans="2:9" x14ac:dyDescent="0.2">
      <c r="B28" s="9">
        <v>24</v>
      </c>
      <c r="C28" s="32" t="s">
        <v>19</v>
      </c>
      <c r="I28" s="24" t="s">
        <v>4</v>
      </c>
    </row>
    <row r="29" spans="2:9" x14ac:dyDescent="0.2">
      <c r="B29" s="9">
        <v>25</v>
      </c>
      <c r="C29" s="25" t="s">
        <v>49</v>
      </c>
      <c r="I29" s="24" t="s">
        <v>4</v>
      </c>
    </row>
    <row r="30" spans="2:9" x14ac:dyDescent="0.2">
      <c r="B30" s="9">
        <v>26</v>
      </c>
      <c r="C30" s="25" t="s">
        <v>53</v>
      </c>
      <c r="I30" s="24" t="s">
        <v>4</v>
      </c>
    </row>
    <row r="31" spans="2:9" x14ac:dyDescent="0.2">
      <c r="B31" s="9">
        <v>27</v>
      </c>
      <c r="C31" s="33" t="s">
        <v>236</v>
      </c>
      <c r="I31" s="24" t="s">
        <v>4</v>
      </c>
    </row>
    <row r="32" spans="2:9" x14ac:dyDescent="0.2">
      <c r="B32" s="9">
        <v>28</v>
      </c>
      <c r="C32" s="25" t="s">
        <v>55</v>
      </c>
      <c r="I32" s="24" t="s">
        <v>5</v>
      </c>
    </row>
    <row r="33" spans="3:9" x14ac:dyDescent="0.2">
      <c r="C33" s="23"/>
      <c r="I33" s="24" t="s">
        <v>4</v>
      </c>
    </row>
    <row r="34" spans="3:9" x14ac:dyDescent="0.2">
      <c r="C34" s="23"/>
      <c r="I34" s="24" t="s">
        <v>4</v>
      </c>
    </row>
    <row r="35" spans="3:9" x14ac:dyDescent="0.2">
      <c r="C35" s="23"/>
      <c r="I35" s="24" t="s">
        <v>4</v>
      </c>
    </row>
    <row r="36" spans="3:9" x14ac:dyDescent="0.2">
      <c r="C36" s="23"/>
      <c r="I36" s="24" t="s">
        <v>4</v>
      </c>
    </row>
    <row r="37" spans="3:9" x14ac:dyDescent="0.2">
      <c r="C37" s="23"/>
      <c r="I37" s="24" t="s">
        <v>4</v>
      </c>
    </row>
    <row r="38" spans="3:9" x14ac:dyDescent="0.2">
      <c r="C38" s="23"/>
      <c r="I38" s="24" t="s">
        <v>4</v>
      </c>
    </row>
    <row r="39" spans="3:9" x14ac:dyDescent="0.2">
      <c r="C39" s="23"/>
      <c r="I39" s="24" t="s">
        <v>4</v>
      </c>
    </row>
    <row r="40" spans="3:9" x14ac:dyDescent="0.2">
      <c r="C40" s="23"/>
      <c r="I40" s="24" t="s">
        <v>4</v>
      </c>
    </row>
    <row r="41" spans="3:9" x14ac:dyDescent="0.2">
      <c r="C41" s="23"/>
      <c r="I41" s="24" t="s">
        <v>4</v>
      </c>
    </row>
    <row r="42" spans="3:9" x14ac:dyDescent="0.2">
      <c r="I42" s="24" t="s">
        <v>4</v>
      </c>
    </row>
    <row r="43" spans="3:9" x14ac:dyDescent="0.2">
      <c r="C43" s="23"/>
      <c r="I43" s="24" t="s">
        <v>4</v>
      </c>
    </row>
    <row r="44" spans="3:9" x14ac:dyDescent="0.2">
      <c r="C44" s="23"/>
      <c r="I44" s="24" t="s">
        <v>4</v>
      </c>
    </row>
    <row r="45" spans="3:9" x14ac:dyDescent="0.2">
      <c r="C45" s="23"/>
      <c r="I45" s="24" t="s">
        <v>4</v>
      </c>
    </row>
    <row r="46" spans="3:9" x14ac:dyDescent="0.2">
      <c r="C46" s="23"/>
      <c r="I46" s="24" t="s">
        <v>4</v>
      </c>
    </row>
    <row r="47" spans="3:9" x14ac:dyDescent="0.2">
      <c r="C47" s="23"/>
      <c r="I47" s="24" t="s">
        <v>4</v>
      </c>
    </row>
    <row r="48" spans="3:9" x14ac:dyDescent="0.2">
      <c r="C48" s="23"/>
      <c r="I48" s="24" t="s">
        <v>4</v>
      </c>
    </row>
    <row r="49" spans="3:9" x14ac:dyDescent="0.2">
      <c r="C49" s="23"/>
      <c r="I49" s="24" t="s">
        <v>4</v>
      </c>
    </row>
    <row r="50" spans="3:9" x14ac:dyDescent="0.2">
      <c r="C50" s="23"/>
      <c r="I50" s="24" t="s">
        <v>4</v>
      </c>
    </row>
    <row r="51" spans="3:9" x14ac:dyDescent="0.2">
      <c r="C51" s="23"/>
      <c r="I51" s="24" t="s">
        <v>4</v>
      </c>
    </row>
    <row r="52" spans="3:9" x14ac:dyDescent="0.2">
      <c r="C52" s="23"/>
      <c r="I52" s="24" t="s">
        <v>4</v>
      </c>
    </row>
    <row r="53" spans="3:9" x14ac:dyDescent="0.2">
      <c r="C53" s="23"/>
      <c r="I53" s="24" t="s">
        <v>4</v>
      </c>
    </row>
    <row r="54" spans="3:9" x14ac:dyDescent="0.2">
      <c r="C54" s="23"/>
      <c r="I54" s="24" t="s">
        <v>4</v>
      </c>
    </row>
    <row r="55" spans="3:9" x14ac:dyDescent="0.2">
      <c r="C55" s="23"/>
      <c r="I55" s="24" t="s">
        <v>4</v>
      </c>
    </row>
    <row r="56" spans="3:9" x14ac:dyDescent="0.2">
      <c r="C56" s="23"/>
      <c r="I56" s="24" t="s">
        <v>4</v>
      </c>
    </row>
    <row r="57" spans="3:9" x14ac:dyDescent="0.2">
      <c r="C57" s="23"/>
      <c r="I57" s="24" t="s">
        <v>4</v>
      </c>
    </row>
    <row r="58" spans="3:9" x14ac:dyDescent="0.2">
      <c r="C58" s="23"/>
      <c r="I58" s="24" t="s">
        <v>5</v>
      </c>
    </row>
    <row r="59" spans="3:9" x14ac:dyDescent="0.2">
      <c r="C59" s="23"/>
      <c r="I59" s="24" t="s">
        <v>5</v>
      </c>
    </row>
    <row r="60" spans="3:9" x14ac:dyDescent="0.2">
      <c r="C60" s="23"/>
      <c r="I60" s="24" t="s">
        <v>5</v>
      </c>
    </row>
    <row r="61" spans="3:9" x14ac:dyDescent="0.2">
      <c r="I61" s="24" t="s">
        <v>4</v>
      </c>
    </row>
    <row r="62" spans="3:9" x14ac:dyDescent="0.2">
      <c r="C62" s="23"/>
      <c r="I62" s="24" t="s">
        <v>5</v>
      </c>
    </row>
    <row r="63" spans="3:9" x14ac:dyDescent="0.2">
      <c r="C63" s="23"/>
      <c r="I63" s="24" t="s">
        <v>5</v>
      </c>
    </row>
    <row r="64" spans="3:9" x14ac:dyDescent="0.2">
      <c r="C64" s="23"/>
      <c r="I64" s="24" t="s">
        <v>4</v>
      </c>
    </row>
    <row r="65" spans="3:9" x14ac:dyDescent="0.2">
      <c r="C65" s="23"/>
      <c r="I65" s="24" t="s">
        <v>4</v>
      </c>
    </row>
    <row r="66" spans="3:9" x14ac:dyDescent="0.2">
      <c r="C66" s="23"/>
      <c r="I66" s="24" t="s">
        <v>4</v>
      </c>
    </row>
    <row r="67" spans="3:9" x14ac:dyDescent="0.2">
      <c r="C67" s="23"/>
      <c r="I67" s="24" t="s">
        <v>4</v>
      </c>
    </row>
    <row r="68" spans="3:9" x14ac:dyDescent="0.2">
      <c r="C68" s="23"/>
      <c r="I68" s="24" t="s">
        <v>4</v>
      </c>
    </row>
    <row r="69" spans="3:9" x14ac:dyDescent="0.2">
      <c r="C69" s="23"/>
      <c r="I69" s="24" t="s">
        <v>4</v>
      </c>
    </row>
    <row r="70" spans="3:9" x14ac:dyDescent="0.2">
      <c r="C70" s="23"/>
      <c r="I70" s="24" t="s">
        <v>4</v>
      </c>
    </row>
    <row r="71" spans="3:9" x14ac:dyDescent="0.2">
      <c r="C71" s="23"/>
      <c r="I71" s="24" t="s">
        <v>5</v>
      </c>
    </row>
    <row r="72" spans="3:9" x14ac:dyDescent="0.2">
      <c r="C72" s="23"/>
      <c r="I72" s="24" t="s">
        <v>4</v>
      </c>
    </row>
    <row r="73" spans="3:9" x14ac:dyDescent="0.2">
      <c r="C73" s="23"/>
      <c r="I73" s="24" t="s">
        <v>4</v>
      </c>
    </row>
    <row r="74" spans="3:9" x14ac:dyDescent="0.2">
      <c r="C74" s="23"/>
      <c r="I74" s="24" t="s">
        <v>4</v>
      </c>
    </row>
    <row r="75" spans="3:9" x14ac:dyDescent="0.2">
      <c r="C75" s="23"/>
      <c r="I75" s="24" t="s">
        <v>4</v>
      </c>
    </row>
    <row r="76" spans="3:9" x14ac:dyDescent="0.2">
      <c r="C76" s="23"/>
      <c r="I76" s="24" t="s">
        <v>4</v>
      </c>
    </row>
    <row r="77" spans="3:9" x14ac:dyDescent="0.2">
      <c r="I77" s="24" t="s">
        <v>4</v>
      </c>
    </row>
    <row r="78" spans="3:9" x14ac:dyDescent="0.2">
      <c r="C78" s="23"/>
      <c r="I78" s="24" t="s">
        <v>4</v>
      </c>
    </row>
    <row r="79" spans="3:9" x14ac:dyDescent="0.2">
      <c r="C79" s="23"/>
      <c r="I79" s="24" t="s">
        <v>4</v>
      </c>
    </row>
    <row r="80" spans="3:9" x14ac:dyDescent="0.2">
      <c r="I80" s="24" t="s">
        <v>5</v>
      </c>
    </row>
    <row r="81" spans="9:9" x14ac:dyDescent="0.2">
      <c r="I81" s="24" t="s">
        <v>5</v>
      </c>
    </row>
    <row r="82" spans="9:9" x14ac:dyDescent="0.2">
      <c r="I82" s="24" t="s">
        <v>4</v>
      </c>
    </row>
    <row r="83" spans="9:9" x14ac:dyDescent="0.2">
      <c r="I83" s="24" t="s">
        <v>4</v>
      </c>
    </row>
    <row r="84" spans="9:9" x14ac:dyDescent="0.2">
      <c r="I84" s="24" t="s">
        <v>4</v>
      </c>
    </row>
    <row r="85" spans="9:9" x14ac:dyDescent="0.2">
      <c r="I85" s="23"/>
    </row>
  </sheetData>
  <sortState xmlns:xlrd2="http://schemas.microsoft.com/office/spreadsheetml/2017/richdata2" ref="C5:C32">
    <sortCondition ref="C5:C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D689-A357-3547-8502-FC173FB42399}">
  <dimension ref="A1:I86"/>
  <sheetViews>
    <sheetView zoomScale="130" zoomScaleNormal="130" workbookViewId="0">
      <selection activeCell="C11" sqref="C11"/>
    </sheetView>
  </sheetViews>
  <sheetFormatPr baseColWidth="10" defaultRowHeight="16" x14ac:dyDescent="0.2"/>
  <cols>
    <col min="1" max="1" width="10.83203125" style="1"/>
    <col min="2" max="2" width="10.83203125" style="5"/>
    <col min="3" max="3" width="20.83203125" style="1" customWidth="1"/>
    <col min="4" max="4" width="64.6640625" style="1" customWidth="1"/>
    <col min="5" max="5" width="42.1640625" style="1" customWidth="1"/>
    <col min="6" max="16384" width="10.83203125" style="1"/>
  </cols>
  <sheetData>
    <row r="1" spans="1:5" x14ac:dyDescent="0.2">
      <c r="A1" s="21" t="s">
        <v>18</v>
      </c>
    </row>
    <row r="2" spans="1:5" ht="22" x14ac:dyDescent="0.2">
      <c r="C2" s="3" t="s">
        <v>32</v>
      </c>
    </row>
    <row r="4" spans="1:5" s="2" customFormat="1" x14ac:dyDescent="0.2">
      <c r="B4" s="15" t="s">
        <v>0</v>
      </c>
      <c r="C4" s="15" t="s">
        <v>31</v>
      </c>
      <c r="D4" s="15" t="s">
        <v>3</v>
      </c>
      <c r="E4" s="15" t="s">
        <v>2</v>
      </c>
    </row>
    <row r="5" spans="1:5" x14ac:dyDescent="0.2">
      <c r="B5" s="5">
        <v>1</v>
      </c>
      <c r="C5" t="s">
        <v>13</v>
      </c>
      <c r="D5" s="1" t="s">
        <v>30</v>
      </c>
    </row>
    <row r="6" spans="1:5" x14ac:dyDescent="0.2">
      <c r="B6" s="5">
        <v>2</v>
      </c>
      <c r="C6" t="s">
        <v>36</v>
      </c>
      <c r="D6" s="1" t="s">
        <v>35</v>
      </c>
    </row>
    <row r="7" spans="1:5" x14ac:dyDescent="0.2">
      <c r="B7" s="5">
        <v>3</v>
      </c>
      <c r="C7" t="s">
        <v>38</v>
      </c>
      <c r="D7" s="1" t="s">
        <v>37</v>
      </c>
    </row>
    <row r="8" spans="1:5" x14ac:dyDescent="0.2">
      <c r="B8" s="5">
        <v>4</v>
      </c>
      <c r="C8" t="s">
        <v>40</v>
      </c>
      <c r="D8" s="1" t="s">
        <v>39</v>
      </c>
    </row>
    <row r="9" spans="1:5" x14ac:dyDescent="0.2">
      <c r="B9" s="5">
        <v>5</v>
      </c>
      <c r="C9" t="s">
        <v>42</v>
      </c>
      <c r="D9" s="1" t="s">
        <v>41</v>
      </c>
    </row>
    <row r="10" spans="1:5" x14ac:dyDescent="0.2">
      <c r="B10" s="5">
        <v>6</v>
      </c>
      <c r="C10"/>
    </row>
    <row r="11" spans="1:5" x14ac:dyDescent="0.2">
      <c r="B11" s="5">
        <v>7</v>
      </c>
      <c r="C11" s="17" t="s">
        <v>60</v>
      </c>
      <c r="D11" s="1" t="s">
        <v>58</v>
      </c>
      <c r="E11" s="1" t="s">
        <v>59</v>
      </c>
    </row>
    <row r="12" spans="1:5" x14ac:dyDescent="0.2">
      <c r="C12" s="5"/>
      <c r="D12" s="1" t="s">
        <v>235</v>
      </c>
    </row>
    <row r="13" spans="1:5" x14ac:dyDescent="0.2">
      <c r="C13"/>
    </row>
    <row r="14" spans="1:5" x14ac:dyDescent="0.2">
      <c r="C14"/>
    </row>
    <row r="15" spans="1:5" x14ac:dyDescent="0.2">
      <c r="C15"/>
    </row>
    <row r="16" spans="1:5" x14ac:dyDescent="0.2">
      <c r="C16"/>
    </row>
    <row r="17" spans="3:9" x14ac:dyDescent="0.2">
      <c r="C17"/>
    </row>
    <row r="18" spans="3:9" ht="20" x14ac:dyDescent="0.2">
      <c r="C18" s="22" t="s">
        <v>33</v>
      </c>
      <c r="I18" s="7" t="s">
        <v>4</v>
      </c>
    </row>
    <row r="19" spans="3:9" ht="20" x14ac:dyDescent="0.2">
      <c r="C19"/>
      <c r="D19" t="s">
        <v>34</v>
      </c>
      <c r="I19" s="7" t="s">
        <v>4</v>
      </c>
    </row>
    <row r="20" spans="3:9" ht="20" x14ac:dyDescent="0.2">
      <c r="C20"/>
      <c r="I20" s="7" t="s">
        <v>4</v>
      </c>
    </row>
    <row r="21" spans="3:9" ht="20" x14ac:dyDescent="0.2">
      <c r="I21" s="7" t="s">
        <v>4</v>
      </c>
    </row>
    <row r="22" spans="3:9" ht="20" x14ac:dyDescent="0.2">
      <c r="C22"/>
      <c r="I22" s="7" t="s">
        <v>4</v>
      </c>
    </row>
    <row r="23" spans="3:9" ht="20" x14ac:dyDescent="0.2">
      <c r="C23"/>
      <c r="I23" s="7" t="s">
        <v>4</v>
      </c>
    </row>
    <row r="24" spans="3:9" ht="20" x14ac:dyDescent="0.2">
      <c r="C24"/>
      <c r="I24" s="7" t="s">
        <v>4</v>
      </c>
    </row>
    <row r="25" spans="3:9" x14ac:dyDescent="0.2">
      <c r="C25"/>
      <c r="I25" s="8" t="s">
        <v>5</v>
      </c>
    </row>
    <row r="26" spans="3:9" ht="20" x14ac:dyDescent="0.2">
      <c r="I26" s="7" t="s">
        <v>4</v>
      </c>
    </row>
    <row r="27" spans="3:9" ht="20" x14ac:dyDescent="0.2">
      <c r="C27"/>
      <c r="I27" s="7" t="s">
        <v>4</v>
      </c>
    </row>
    <row r="28" spans="3:9" ht="20" x14ac:dyDescent="0.2">
      <c r="C28"/>
      <c r="I28" s="7" t="s">
        <v>4</v>
      </c>
    </row>
    <row r="29" spans="3:9" ht="20" x14ac:dyDescent="0.2">
      <c r="C29"/>
      <c r="I29" s="7" t="s">
        <v>4</v>
      </c>
    </row>
    <row r="30" spans="3:9" ht="20" x14ac:dyDescent="0.2">
      <c r="C30"/>
      <c r="I30" s="7" t="s">
        <v>4</v>
      </c>
    </row>
    <row r="31" spans="3:9" ht="20" x14ac:dyDescent="0.2">
      <c r="C31"/>
      <c r="I31" s="7" t="s">
        <v>4</v>
      </c>
    </row>
    <row r="32" spans="3:9" ht="20" x14ac:dyDescent="0.2">
      <c r="C32"/>
      <c r="I32" s="7" t="s">
        <v>4</v>
      </c>
    </row>
    <row r="33" spans="3:9" x14ac:dyDescent="0.2">
      <c r="C33"/>
      <c r="I33" s="8" t="s">
        <v>5</v>
      </c>
    </row>
    <row r="34" spans="3:9" ht="20" x14ac:dyDescent="0.2">
      <c r="C34"/>
      <c r="I34" s="7" t="s">
        <v>4</v>
      </c>
    </row>
    <row r="35" spans="3:9" ht="20" x14ac:dyDescent="0.2">
      <c r="C35"/>
      <c r="I35" s="7" t="s">
        <v>4</v>
      </c>
    </row>
    <row r="36" spans="3:9" ht="20" x14ac:dyDescent="0.2">
      <c r="C36"/>
      <c r="I36" s="7" t="s">
        <v>4</v>
      </c>
    </row>
    <row r="37" spans="3:9" ht="20" x14ac:dyDescent="0.2">
      <c r="C37"/>
      <c r="I37" s="7" t="s">
        <v>4</v>
      </c>
    </row>
    <row r="38" spans="3:9" ht="20" x14ac:dyDescent="0.2">
      <c r="C38"/>
      <c r="I38" s="7" t="s">
        <v>4</v>
      </c>
    </row>
    <row r="39" spans="3:9" ht="20" x14ac:dyDescent="0.2">
      <c r="C39"/>
      <c r="I39" s="7" t="s">
        <v>4</v>
      </c>
    </row>
    <row r="40" spans="3:9" ht="20" x14ac:dyDescent="0.2">
      <c r="C40"/>
      <c r="I40" s="7" t="s">
        <v>4</v>
      </c>
    </row>
    <row r="41" spans="3:9" ht="20" x14ac:dyDescent="0.2">
      <c r="C41"/>
      <c r="I41" s="7" t="s">
        <v>4</v>
      </c>
    </row>
    <row r="42" spans="3:9" ht="20" x14ac:dyDescent="0.2">
      <c r="C42"/>
      <c r="I42" s="7" t="s">
        <v>4</v>
      </c>
    </row>
    <row r="43" spans="3:9" ht="20" x14ac:dyDescent="0.2">
      <c r="I43" s="7" t="s">
        <v>4</v>
      </c>
    </row>
    <row r="44" spans="3:9" ht="20" x14ac:dyDescent="0.2">
      <c r="C44"/>
      <c r="I44" s="7" t="s">
        <v>4</v>
      </c>
    </row>
    <row r="45" spans="3:9" ht="20" x14ac:dyDescent="0.2">
      <c r="C45"/>
      <c r="I45" s="7" t="s">
        <v>4</v>
      </c>
    </row>
    <row r="46" spans="3:9" ht="20" x14ac:dyDescent="0.2">
      <c r="C46"/>
      <c r="I46" s="7" t="s">
        <v>4</v>
      </c>
    </row>
    <row r="47" spans="3:9" ht="20" x14ac:dyDescent="0.2">
      <c r="C47"/>
      <c r="I47" s="7" t="s">
        <v>4</v>
      </c>
    </row>
    <row r="48" spans="3:9" ht="20" x14ac:dyDescent="0.2">
      <c r="C48"/>
      <c r="I48" s="7" t="s">
        <v>4</v>
      </c>
    </row>
    <row r="49" spans="3:9" ht="20" x14ac:dyDescent="0.2">
      <c r="C49"/>
      <c r="I49" s="7" t="s">
        <v>4</v>
      </c>
    </row>
    <row r="50" spans="3:9" ht="20" x14ac:dyDescent="0.2">
      <c r="C50"/>
      <c r="I50" s="7" t="s">
        <v>4</v>
      </c>
    </row>
    <row r="51" spans="3:9" ht="20" x14ac:dyDescent="0.2">
      <c r="C51"/>
      <c r="I51" s="7" t="s">
        <v>4</v>
      </c>
    </row>
    <row r="52" spans="3:9" ht="20" x14ac:dyDescent="0.2">
      <c r="C52"/>
      <c r="I52" s="7" t="s">
        <v>4</v>
      </c>
    </row>
    <row r="53" spans="3:9" ht="20" x14ac:dyDescent="0.2">
      <c r="C53"/>
      <c r="I53" s="7" t="s">
        <v>4</v>
      </c>
    </row>
    <row r="54" spans="3:9" ht="20" x14ac:dyDescent="0.2">
      <c r="C54"/>
      <c r="I54" s="7" t="s">
        <v>4</v>
      </c>
    </row>
    <row r="55" spans="3:9" ht="20" x14ac:dyDescent="0.2">
      <c r="C55"/>
      <c r="I55" s="7" t="s">
        <v>4</v>
      </c>
    </row>
    <row r="56" spans="3:9" ht="20" x14ac:dyDescent="0.2">
      <c r="C56"/>
      <c r="I56" s="7" t="s">
        <v>4</v>
      </c>
    </row>
    <row r="57" spans="3:9" ht="20" x14ac:dyDescent="0.2">
      <c r="C57"/>
      <c r="I57" s="7" t="s">
        <v>4</v>
      </c>
    </row>
    <row r="58" spans="3:9" ht="20" x14ac:dyDescent="0.2">
      <c r="C58"/>
      <c r="I58" s="7" t="s">
        <v>4</v>
      </c>
    </row>
    <row r="59" spans="3:9" x14ac:dyDescent="0.2">
      <c r="C59"/>
      <c r="I59" s="8" t="s">
        <v>5</v>
      </c>
    </row>
    <row r="60" spans="3:9" x14ac:dyDescent="0.2">
      <c r="C60"/>
      <c r="I60" s="8" t="s">
        <v>5</v>
      </c>
    </row>
    <row r="61" spans="3:9" x14ac:dyDescent="0.2">
      <c r="C61"/>
      <c r="I61" s="8" t="s">
        <v>5</v>
      </c>
    </row>
    <row r="62" spans="3:9" ht="20" x14ac:dyDescent="0.2">
      <c r="I62" s="7" t="s">
        <v>4</v>
      </c>
    </row>
    <row r="63" spans="3:9" x14ac:dyDescent="0.2">
      <c r="C63"/>
      <c r="I63" s="8" t="s">
        <v>5</v>
      </c>
    </row>
    <row r="64" spans="3:9" x14ac:dyDescent="0.2">
      <c r="C64"/>
      <c r="I64" s="8" t="s">
        <v>5</v>
      </c>
    </row>
    <row r="65" spans="3:9" ht="20" x14ac:dyDescent="0.2">
      <c r="C65"/>
      <c r="I65" s="7" t="s">
        <v>4</v>
      </c>
    </row>
    <row r="66" spans="3:9" ht="20" x14ac:dyDescent="0.2">
      <c r="C66"/>
      <c r="I66" s="7" t="s">
        <v>4</v>
      </c>
    </row>
    <row r="67" spans="3:9" ht="20" x14ac:dyDescent="0.2">
      <c r="C67"/>
      <c r="I67" s="7" t="s">
        <v>4</v>
      </c>
    </row>
    <row r="68" spans="3:9" ht="20" x14ac:dyDescent="0.2">
      <c r="C68"/>
      <c r="I68" s="7" t="s">
        <v>4</v>
      </c>
    </row>
    <row r="69" spans="3:9" ht="20" x14ac:dyDescent="0.2">
      <c r="C69"/>
      <c r="I69" s="7" t="s">
        <v>4</v>
      </c>
    </row>
    <row r="70" spans="3:9" ht="20" x14ac:dyDescent="0.2">
      <c r="C70"/>
      <c r="I70" s="7" t="s">
        <v>4</v>
      </c>
    </row>
    <row r="71" spans="3:9" ht="20" x14ac:dyDescent="0.2">
      <c r="C71"/>
      <c r="I71" s="7" t="s">
        <v>4</v>
      </c>
    </row>
    <row r="72" spans="3:9" x14ac:dyDescent="0.2">
      <c r="C72"/>
      <c r="I72" s="8" t="s">
        <v>5</v>
      </c>
    </row>
    <row r="73" spans="3:9" ht="20" x14ac:dyDescent="0.2">
      <c r="C73"/>
      <c r="I73" s="7" t="s">
        <v>4</v>
      </c>
    </row>
    <row r="74" spans="3:9" ht="20" x14ac:dyDescent="0.2">
      <c r="C74"/>
      <c r="I74" s="7" t="s">
        <v>4</v>
      </c>
    </row>
    <row r="75" spans="3:9" ht="20" x14ac:dyDescent="0.2">
      <c r="C75"/>
      <c r="I75" s="7" t="s">
        <v>4</v>
      </c>
    </row>
    <row r="76" spans="3:9" ht="20" x14ac:dyDescent="0.2">
      <c r="C76"/>
      <c r="I76" s="7" t="s">
        <v>4</v>
      </c>
    </row>
    <row r="77" spans="3:9" ht="20" x14ac:dyDescent="0.2">
      <c r="C77"/>
      <c r="I77" s="7" t="s">
        <v>4</v>
      </c>
    </row>
    <row r="78" spans="3:9" ht="20" x14ac:dyDescent="0.2">
      <c r="I78" s="7" t="s">
        <v>4</v>
      </c>
    </row>
    <row r="79" spans="3:9" ht="20" x14ac:dyDescent="0.2">
      <c r="C79"/>
      <c r="I79" s="7" t="s">
        <v>4</v>
      </c>
    </row>
    <row r="80" spans="3:9" ht="20" x14ac:dyDescent="0.2">
      <c r="C80"/>
      <c r="I80" s="7" t="s">
        <v>4</v>
      </c>
    </row>
    <row r="81" spans="9:9" x14ac:dyDescent="0.2">
      <c r="I81" s="8" t="s">
        <v>5</v>
      </c>
    </row>
    <row r="82" spans="9:9" x14ac:dyDescent="0.2">
      <c r="I82" s="8" t="s">
        <v>5</v>
      </c>
    </row>
    <row r="83" spans="9:9" ht="20" x14ac:dyDescent="0.2">
      <c r="I83" s="7" t="s">
        <v>4</v>
      </c>
    </row>
    <row r="84" spans="9:9" ht="20" x14ac:dyDescent="0.2">
      <c r="I84" s="7" t="s">
        <v>4</v>
      </c>
    </row>
    <row r="85" spans="9:9" ht="20" x14ac:dyDescent="0.2">
      <c r="I85" s="7" t="s">
        <v>4</v>
      </c>
    </row>
    <row r="86" spans="9:9" x14ac:dyDescent="0.2">
      <c r="I8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4AB2-4FF6-4B41-82FF-7B66E78928E7}">
  <dimension ref="A1:F14"/>
  <sheetViews>
    <sheetView zoomScale="140" zoomScaleNormal="140" workbookViewId="0">
      <selection activeCell="C7" sqref="C7:E8"/>
    </sheetView>
  </sheetViews>
  <sheetFormatPr baseColWidth="10" defaultRowHeight="16" x14ac:dyDescent="0.2"/>
  <cols>
    <col min="1" max="1" width="10.83203125" style="1"/>
    <col min="2" max="2" width="7.83203125" style="5" customWidth="1"/>
    <col min="3" max="3" width="16" style="5" customWidth="1"/>
    <col min="4" max="4" width="59.6640625" style="1" customWidth="1"/>
    <col min="5" max="5" width="43.6640625" style="1" customWidth="1"/>
    <col min="6" max="16384" width="10.83203125" style="1"/>
  </cols>
  <sheetData>
    <row r="1" spans="1:6" x14ac:dyDescent="0.2">
      <c r="A1" s="21" t="s">
        <v>18</v>
      </c>
    </row>
    <row r="2" spans="1:6" ht="22" x14ac:dyDescent="0.2">
      <c r="C2" s="3" t="s">
        <v>12</v>
      </c>
    </row>
    <row r="4" spans="1:6" s="2" customFormat="1" x14ac:dyDescent="0.2">
      <c r="B4" s="15" t="s">
        <v>0</v>
      </c>
      <c r="C4" s="15" t="s">
        <v>1</v>
      </c>
      <c r="D4" s="15" t="s">
        <v>3</v>
      </c>
      <c r="E4" s="15" t="s">
        <v>2</v>
      </c>
      <c r="F4" s="15"/>
    </row>
    <row r="5" spans="1:6" x14ac:dyDescent="0.2">
      <c r="B5" s="5">
        <v>1</v>
      </c>
      <c r="D5" s="6" t="s">
        <v>21</v>
      </c>
    </row>
    <row r="6" spans="1:6" x14ac:dyDescent="0.2">
      <c r="D6" s="6"/>
    </row>
    <row r="7" spans="1:6" x14ac:dyDescent="0.2">
      <c r="B7" s="5">
        <v>2</v>
      </c>
    </row>
    <row r="9" spans="1:6" x14ac:dyDescent="0.2">
      <c r="B9" s="5">
        <v>3</v>
      </c>
    </row>
    <row r="12" spans="1:6" x14ac:dyDescent="0.2">
      <c r="B12" s="5">
        <v>4</v>
      </c>
      <c r="C12" s="4"/>
      <c r="D12" s="6"/>
    </row>
    <row r="14" spans="1:6" x14ac:dyDescent="0.2">
      <c r="B14" s="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D096-C756-2745-B5B2-93AA75E28AFC}">
  <dimension ref="A1:F9"/>
  <sheetViews>
    <sheetView zoomScale="140" zoomScaleNormal="140" workbookViewId="0"/>
  </sheetViews>
  <sheetFormatPr baseColWidth="10" defaultRowHeight="16" x14ac:dyDescent="0.2"/>
  <cols>
    <col min="1" max="1" width="10.83203125" style="1"/>
    <col min="2" max="2" width="6.33203125" style="5" customWidth="1"/>
    <col min="3" max="3" width="59.33203125" style="5" customWidth="1"/>
    <col min="4" max="4" width="52.33203125" style="1" customWidth="1"/>
    <col min="5" max="5" width="43.6640625" style="1" customWidth="1"/>
    <col min="6" max="16384" width="10.83203125" style="1"/>
  </cols>
  <sheetData>
    <row r="1" spans="1:6" x14ac:dyDescent="0.2">
      <c r="A1" s="21" t="s">
        <v>18</v>
      </c>
    </row>
    <row r="2" spans="1:6" ht="22" x14ac:dyDescent="0.2">
      <c r="C2" s="3" t="s">
        <v>16</v>
      </c>
    </row>
    <row r="4" spans="1:6" s="2" customFormat="1" x14ac:dyDescent="0.2">
      <c r="B4" s="15" t="s">
        <v>0</v>
      </c>
      <c r="C4" s="15" t="s">
        <v>1</v>
      </c>
      <c r="D4" s="15" t="s">
        <v>3</v>
      </c>
      <c r="E4" s="15" t="s">
        <v>2</v>
      </c>
      <c r="F4" s="15"/>
    </row>
    <row r="5" spans="1:6" x14ac:dyDescent="0.2">
      <c r="B5" s="5">
        <v>1</v>
      </c>
      <c r="C5" s="17"/>
      <c r="D5" s="6"/>
    </row>
    <row r="6" spans="1:6" x14ac:dyDescent="0.2">
      <c r="D6" s="6"/>
    </row>
    <row r="7" spans="1:6" x14ac:dyDescent="0.2">
      <c r="B7" s="5">
        <v>2</v>
      </c>
    </row>
    <row r="9" spans="1:6" x14ac:dyDescent="0.2">
      <c r="B9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AEBB-70D8-DB47-86F8-3C79208EA5AA}">
  <dimension ref="B4:D90"/>
  <sheetViews>
    <sheetView tabSelected="1" zoomScale="130" zoomScaleNormal="130" workbookViewId="0">
      <selection activeCell="A5" sqref="A5"/>
    </sheetView>
  </sheetViews>
  <sheetFormatPr baseColWidth="10" defaultRowHeight="13" x14ac:dyDescent="0.2"/>
  <cols>
    <col min="1" max="1" width="10.83203125" style="30"/>
    <col min="2" max="2" width="10.83203125" style="28"/>
    <col min="3" max="3" width="61" style="30" customWidth="1"/>
    <col min="4" max="4" width="140.83203125" style="30" customWidth="1"/>
    <col min="5" max="16384" width="10.83203125" style="30"/>
  </cols>
  <sheetData>
    <row r="4" spans="2:4" s="28" customFormat="1" x14ac:dyDescent="0.2">
      <c r="B4" s="27" t="s">
        <v>0</v>
      </c>
      <c r="C4" s="27" t="s">
        <v>61</v>
      </c>
      <c r="D4" s="27" t="s">
        <v>62</v>
      </c>
    </row>
    <row r="5" spans="2:4" x14ac:dyDescent="0.2">
      <c r="B5" s="28">
        <v>1</v>
      </c>
      <c r="C5" s="29" t="s">
        <v>149</v>
      </c>
      <c r="D5" s="29" t="s">
        <v>63</v>
      </c>
    </row>
    <row r="6" spans="2:4" x14ac:dyDescent="0.2">
      <c r="B6" s="28">
        <v>2</v>
      </c>
      <c r="C6" s="29" t="s">
        <v>150</v>
      </c>
      <c r="D6" s="29" t="s">
        <v>64</v>
      </c>
    </row>
    <row r="7" spans="2:4" x14ac:dyDescent="0.2">
      <c r="B7" s="28">
        <v>3</v>
      </c>
      <c r="C7" s="29" t="s">
        <v>151</v>
      </c>
      <c r="D7" s="29" t="s">
        <v>65</v>
      </c>
    </row>
    <row r="8" spans="2:4" x14ac:dyDescent="0.2">
      <c r="B8" s="28">
        <v>4</v>
      </c>
      <c r="C8" s="29" t="s">
        <v>152</v>
      </c>
      <c r="D8" s="29" t="s">
        <v>66</v>
      </c>
    </row>
    <row r="9" spans="2:4" x14ac:dyDescent="0.2">
      <c r="B9" s="28">
        <v>5</v>
      </c>
      <c r="C9" s="29" t="s">
        <v>153</v>
      </c>
      <c r="D9" s="29" t="s">
        <v>67</v>
      </c>
    </row>
    <row r="10" spans="2:4" x14ac:dyDescent="0.2">
      <c r="B10" s="28">
        <v>6</v>
      </c>
      <c r="C10" s="29" t="s">
        <v>154</v>
      </c>
      <c r="D10" s="29" t="s">
        <v>68</v>
      </c>
    </row>
    <row r="11" spans="2:4" x14ac:dyDescent="0.2">
      <c r="B11" s="28">
        <v>7</v>
      </c>
      <c r="C11" s="29" t="s">
        <v>230</v>
      </c>
      <c r="D11" s="29" t="s">
        <v>69</v>
      </c>
    </row>
    <row r="12" spans="2:4" x14ac:dyDescent="0.2">
      <c r="B12" s="28">
        <v>8</v>
      </c>
      <c r="C12" s="29" t="s">
        <v>159</v>
      </c>
      <c r="D12" s="29" t="s">
        <v>70</v>
      </c>
    </row>
    <row r="13" spans="2:4" x14ac:dyDescent="0.2">
      <c r="B13" s="28">
        <v>9</v>
      </c>
      <c r="C13" s="29" t="s">
        <v>155</v>
      </c>
      <c r="D13" s="29" t="s">
        <v>71</v>
      </c>
    </row>
    <row r="14" spans="2:4" x14ac:dyDescent="0.2">
      <c r="B14" s="28">
        <v>10</v>
      </c>
      <c r="C14" s="29" t="s">
        <v>231</v>
      </c>
      <c r="D14" s="29" t="s">
        <v>72</v>
      </c>
    </row>
    <row r="15" spans="2:4" x14ac:dyDescent="0.2">
      <c r="B15" s="28">
        <v>11</v>
      </c>
      <c r="C15" s="29" t="s">
        <v>160</v>
      </c>
      <c r="D15" s="29" t="s">
        <v>73</v>
      </c>
    </row>
    <row r="16" spans="2:4" x14ac:dyDescent="0.2">
      <c r="B16" s="28">
        <v>12</v>
      </c>
      <c r="C16" s="29" t="s">
        <v>156</v>
      </c>
      <c r="D16" s="29" t="s">
        <v>74</v>
      </c>
    </row>
    <row r="17" spans="2:4" x14ac:dyDescent="0.2">
      <c r="B17" s="28">
        <v>13</v>
      </c>
      <c r="C17" s="29" t="s">
        <v>157</v>
      </c>
      <c r="D17" s="29" t="s">
        <v>75</v>
      </c>
    </row>
    <row r="18" spans="2:4" x14ac:dyDescent="0.2">
      <c r="B18" s="28">
        <v>14</v>
      </c>
      <c r="C18" s="29" t="s">
        <v>158</v>
      </c>
      <c r="D18" s="29" t="s">
        <v>76</v>
      </c>
    </row>
    <row r="19" spans="2:4" x14ac:dyDescent="0.2">
      <c r="B19" s="28">
        <v>15</v>
      </c>
      <c r="C19" s="29" t="s">
        <v>232</v>
      </c>
      <c r="D19" s="29" t="s">
        <v>77</v>
      </c>
    </row>
    <row r="20" spans="2:4" x14ac:dyDescent="0.2">
      <c r="B20" s="28">
        <v>16</v>
      </c>
      <c r="C20" s="29" t="s">
        <v>233</v>
      </c>
      <c r="D20" s="29" t="s">
        <v>78</v>
      </c>
    </row>
    <row r="21" spans="2:4" x14ac:dyDescent="0.2">
      <c r="B21" s="28">
        <v>17</v>
      </c>
      <c r="C21" s="29" t="s">
        <v>234</v>
      </c>
      <c r="D21" s="29" t="s">
        <v>79</v>
      </c>
    </row>
    <row r="22" spans="2:4" x14ac:dyDescent="0.2">
      <c r="B22" s="28">
        <v>18</v>
      </c>
      <c r="C22" s="29" t="s">
        <v>161</v>
      </c>
      <c r="D22" s="29" t="s">
        <v>80</v>
      </c>
    </row>
    <row r="23" spans="2:4" x14ac:dyDescent="0.2">
      <c r="B23" s="28">
        <v>19</v>
      </c>
      <c r="C23" s="29" t="s">
        <v>162</v>
      </c>
      <c r="D23" s="29" t="s">
        <v>81</v>
      </c>
    </row>
    <row r="24" spans="2:4" x14ac:dyDescent="0.2">
      <c r="B24" s="28">
        <v>20</v>
      </c>
      <c r="C24" s="29" t="s">
        <v>163</v>
      </c>
      <c r="D24" s="29" t="s">
        <v>82</v>
      </c>
    </row>
    <row r="25" spans="2:4" x14ac:dyDescent="0.2">
      <c r="B25" s="28">
        <v>21</v>
      </c>
      <c r="C25" s="29" t="s">
        <v>164</v>
      </c>
      <c r="D25" s="29" t="s">
        <v>83</v>
      </c>
    </row>
    <row r="26" spans="2:4" x14ac:dyDescent="0.2">
      <c r="B26" s="28">
        <v>22</v>
      </c>
      <c r="C26" s="29" t="s">
        <v>165</v>
      </c>
      <c r="D26" s="29" t="s">
        <v>84</v>
      </c>
    </row>
    <row r="27" spans="2:4" x14ac:dyDescent="0.2">
      <c r="B27" s="28">
        <v>23</v>
      </c>
      <c r="C27" s="29" t="s">
        <v>166</v>
      </c>
      <c r="D27" s="31" t="s">
        <v>85</v>
      </c>
    </row>
    <row r="28" spans="2:4" x14ac:dyDescent="0.2">
      <c r="B28" s="28">
        <v>24</v>
      </c>
      <c r="C28" s="29" t="s">
        <v>167</v>
      </c>
      <c r="D28" s="31" t="s">
        <v>86</v>
      </c>
    </row>
    <row r="29" spans="2:4" x14ac:dyDescent="0.2">
      <c r="B29" s="28">
        <v>25</v>
      </c>
      <c r="C29" s="29" t="s">
        <v>168</v>
      </c>
      <c r="D29" s="31" t="s">
        <v>87</v>
      </c>
    </row>
    <row r="30" spans="2:4" x14ac:dyDescent="0.2">
      <c r="B30" s="28">
        <v>26</v>
      </c>
      <c r="C30" s="29" t="s">
        <v>169</v>
      </c>
      <c r="D30" s="31" t="s">
        <v>88</v>
      </c>
    </row>
    <row r="31" spans="2:4" x14ac:dyDescent="0.2">
      <c r="B31" s="28">
        <v>27</v>
      </c>
      <c r="C31" s="29" t="s">
        <v>170</v>
      </c>
      <c r="D31" s="31" t="s">
        <v>89</v>
      </c>
    </row>
    <row r="32" spans="2:4" x14ac:dyDescent="0.2">
      <c r="B32" s="28">
        <v>28</v>
      </c>
      <c r="C32" s="29" t="s">
        <v>171</v>
      </c>
      <c r="D32" s="31" t="s">
        <v>90</v>
      </c>
    </row>
    <row r="33" spans="2:4" x14ac:dyDescent="0.2">
      <c r="B33" s="28">
        <v>29</v>
      </c>
      <c r="C33" s="29" t="s">
        <v>172</v>
      </c>
      <c r="D33" s="31" t="s">
        <v>91</v>
      </c>
    </row>
    <row r="34" spans="2:4" x14ac:dyDescent="0.2">
      <c r="B34" s="28">
        <v>30</v>
      </c>
      <c r="C34" s="29" t="s">
        <v>173</v>
      </c>
      <c r="D34" s="31" t="s">
        <v>92</v>
      </c>
    </row>
    <row r="35" spans="2:4" x14ac:dyDescent="0.2">
      <c r="B35" s="28">
        <v>31</v>
      </c>
      <c r="C35" s="29" t="s">
        <v>174</v>
      </c>
      <c r="D35" s="31" t="s">
        <v>93</v>
      </c>
    </row>
    <row r="36" spans="2:4" x14ac:dyDescent="0.2">
      <c r="B36" s="28">
        <v>32</v>
      </c>
      <c r="C36" s="29" t="s">
        <v>175</v>
      </c>
      <c r="D36" s="31" t="s">
        <v>94</v>
      </c>
    </row>
    <row r="37" spans="2:4" x14ac:dyDescent="0.2">
      <c r="B37" s="28">
        <v>33</v>
      </c>
      <c r="C37" s="29" t="s">
        <v>176</v>
      </c>
      <c r="D37" s="31" t="s">
        <v>95</v>
      </c>
    </row>
    <row r="38" spans="2:4" x14ac:dyDescent="0.2">
      <c r="B38" s="28">
        <v>34</v>
      </c>
      <c r="C38" s="29" t="s">
        <v>177</v>
      </c>
      <c r="D38" s="31" t="s">
        <v>96</v>
      </c>
    </row>
    <row r="39" spans="2:4" x14ac:dyDescent="0.2">
      <c r="B39" s="28">
        <v>35</v>
      </c>
      <c r="C39" s="29" t="s">
        <v>178</v>
      </c>
      <c r="D39" s="31" t="s">
        <v>97</v>
      </c>
    </row>
    <row r="40" spans="2:4" x14ac:dyDescent="0.2">
      <c r="B40" s="28">
        <v>36</v>
      </c>
      <c r="C40" s="29" t="s">
        <v>179</v>
      </c>
      <c r="D40" s="31" t="s">
        <v>98</v>
      </c>
    </row>
    <row r="41" spans="2:4" x14ac:dyDescent="0.2">
      <c r="B41" s="28">
        <v>37</v>
      </c>
      <c r="C41" s="29" t="s">
        <v>180</v>
      </c>
      <c r="D41" s="31" t="s">
        <v>99</v>
      </c>
    </row>
    <row r="42" spans="2:4" x14ac:dyDescent="0.2">
      <c r="B42" s="28">
        <v>38</v>
      </c>
      <c r="C42" s="29" t="s">
        <v>181</v>
      </c>
      <c r="D42" s="31" t="s">
        <v>100</v>
      </c>
    </row>
    <row r="43" spans="2:4" x14ac:dyDescent="0.2">
      <c r="B43" s="28">
        <v>39</v>
      </c>
      <c r="C43" s="29" t="s">
        <v>182</v>
      </c>
      <c r="D43" s="31" t="s">
        <v>101</v>
      </c>
    </row>
    <row r="44" spans="2:4" x14ac:dyDescent="0.2">
      <c r="B44" s="28">
        <v>40</v>
      </c>
      <c r="C44" s="29" t="s">
        <v>183</v>
      </c>
      <c r="D44" s="31" t="s">
        <v>102</v>
      </c>
    </row>
    <row r="45" spans="2:4" x14ac:dyDescent="0.2">
      <c r="B45" s="28">
        <v>41</v>
      </c>
      <c r="C45" s="29" t="s">
        <v>184</v>
      </c>
      <c r="D45" s="31" t="s">
        <v>103</v>
      </c>
    </row>
    <row r="46" spans="2:4" x14ac:dyDescent="0.2">
      <c r="B46" s="28">
        <v>42</v>
      </c>
      <c r="C46" s="29" t="s">
        <v>185</v>
      </c>
      <c r="D46" s="31" t="s">
        <v>104</v>
      </c>
    </row>
    <row r="47" spans="2:4" x14ac:dyDescent="0.2">
      <c r="B47" s="28">
        <v>43</v>
      </c>
      <c r="C47" s="29" t="s">
        <v>186</v>
      </c>
      <c r="D47" s="31" t="s">
        <v>105</v>
      </c>
    </row>
    <row r="48" spans="2:4" x14ac:dyDescent="0.2">
      <c r="B48" s="28">
        <v>44</v>
      </c>
      <c r="C48" s="29" t="s">
        <v>187</v>
      </c>
      <c r="D48" s="31" t="s">
        <v>106</v>
      </c>
    </row>
    <row r="49" spans="2:4" x14ac:dyDescent="0.2">
      <c r="B49" s="28">
        <v>45</v>
      </c>
      <c r="C49" s="29" t="s">
        <v>188</v>
      </c>
      <c r="D49" s="31" t="s">
        <v>107</v>
      </c>
    </row>
    <row r="50" spans="2:4" x14ac:dyDescent="0.2">
      <c r="B50" s="28">
        <v>46</v>
      </c>
      <c r="C50" s="29" t="s">
        <v>189</v>
      </c>
      <c r="D50" s="31" t="s">
        <v>108</v>
      </c>
    </row>
    <row r="51" spans="2:4" x14ac:dyDescent="0.2">
      <c r="B51" s="28">
        <v>47</v>
      </c>
      <c r="C51" s="29" t="s">
        <v>190</v>
      </c>
      <c r="D51" s="31" t="s">
        <v>109</v>
      </c>
    </row>
    <row r="52" spans="2:4" x14ac:dyDescent="0.2">
      <c r="B52" s="28">
        <v>48</v>
      </c>
      <c r="C52" s="29" t="s">
        <v>191</v>
      </c>
      <c r="D52" s="31" t="s">
        <v>110</v>
      </c>
    </row>
    <row r="53" spans="2:4" x14ac:dyDescent="0.2">
      <c r="B53" s="28">
        <v>49</v>
      </c>
      <c r="C53" s="29" t="s">
        <v>192</v>
      </c>
      <c r="D53" s="31" t="s">
        <v>111</v>
      </c>
    </row>
    <row r="54" spans="2:4" x14ac:dyDescent="0.2">
      <c r="B54" s="28">
        <v>50</v>
      </c>
      <c r="C54" s="29" t="s">
        <v>193</v>
      </c>
      <c r="D54" s="31" t="s">
        <v>112</v>
      </c>
    </row>
    <row r="55" spans="2:4" x14ac:dyDescent="0.2">
      <c r="B55" s="28">
        <v>51</v>
      </c>
      <c r="C55" s="29" t="s">
        <v>194</v>
      </c>
      <c r="D55" s="31" t="s">
        <v>113</v>
      </c>
    </row>
    <row r="56" spans="2:4" x14ac:dyDescent="0.2">
      <c r="B56" s="28">
        <v>52</v>
      </c>
      <c r="C56" s="29" t="s">
        <v>195</v>
      </c>
      <c r="D56" s="31" t="s">
        <v>114</v>
      </c>
    </row>
    <row r="57" spans="2:4" x14ac:dyDescent="0.2">
      <c r="B57" s="28">
        <v>53</v>
      </c>
      <c r="C57" s="29" t="s">
        <v>196</v>
      </c>
      <c r="D57" s="31" t="s">
        <v>115</v>
      </c>
    </row>
    <row r="58" spans="2:4" x14ac:dyDescent="0.2">
      <c r="B58" s="28">
        <v>54</v>
      </c>
      <c r="C58" s="29" t="s">
        <v>197</v>
      </c>
      <c r="D58" s="31" t="s">
        <v>116</v>
      </c>
    </row>
    <row r="59" spans="2:4" x14ac:dyDescent="0.2">
      <c r="B59" s="28">
        <v>55</v>
      </c>
      <c r="C59" s="29" t="s">
        <v>198</v>
      </c>
      <c r="D59" s="31" t="s">
        <v>117</v>
      </c>
    </row>
    <row r="60" spans="2:4" x14ac:dyDescent="0.2">
      <c r="B60" s="28">
        <v>56</v>
      </c>
      <c r="C60" s="29" t="s">
        <v>199</v>
      </c>
      <c r="D60" s="31" t="s">
        <v>118</v>
      </c>
    </row>
    <row r="61" spans="2:4" x14ac:dyDescent="0.2">
      <c r="B61" s="28">
        <v>57</v>
      </c>
      <c r="C61" s="29" t="s">
        <v>200</v>
      </c>
      <c r="D61" s="31" t="s">
        <v>119</v>
      </c>
    </row>
    <row r="62" spans="2:4" x14ac:dyDescent="0.2">
      <c r="B62" s="28">
        <v>58</v>
      </c>
      <c r="C62" s="29" t="s">
        <v>201</v>
      </c>
      <c r="D62" s="31" t="s">
        <v>120</v>
      </c>
    </row>
    <row r="63" spans="2:4" x14ac:dyDescent="0.2">
      <c r="B63" s="28">
        <v>59</v>
      </c>
      <c r="C63" s="29" t="s">
        <v>202</v>
      </c>
      <c r="D63" s="31" t="s">
        <v>121</v>
      </c>
    </row>
    <row r="64" spans="2:4" x14ac:dyDescent="0.2">
      <c r="B64" s="28">
        <v>60</v>
      </c>
      <c r="C64" s="29" t="s">
        <v>203</v>
      </c>
      <c r="D64" s="31" t="s">
        <v>122</v>
      </c>
    </row>
    <row r="65" spans="2:4" x14ac:dyDescent="0.2">
      <c r="B65" s="28">
        <v>61</v>
      </c>
      <c r="C65" s="29" t="s">
        <v>204</v>
      </c>
      <c r="D65" s="31" t="s">
        <v>123</v>
      </c>
    </row>
    <row r="66" spans="2:4" x14ac:dyDescent="0.2">
      <c r="B66" s="28">
        <v>62</v>
      </c>
      <c r="C66" s="29" t="s">
        <v>205</v>
      </c>
      <c r="D66" s="31" t="s">
        <v>124</v>
      </c>
    </row>
    <row r="67" spans="2:4" x14ac:dyDescent="0.2">
      <c r="B67" s="28">
        <v>63</v>
      </c>
      <c r="C67" s="29" t="s">
        <v>206</v>
      </c>
      <c r="D67" s="31" t="s">
        <v>125</v>
      </c>
    </row>
    <row r="68" spans="2:4" x14ac:dyDescent="0.2">
      <c r="B68" s="28">
        <v>64</v>
      </c>
      <c r="C68" s="29" t="s">
        <v>207</v>
      </c>
      <c r="D68" s="31" t="s">
        <v>126</v>
      </c>
    </row>
    <row r="69" spans="2:4" x14ac:dyDescent="0.2">
      <c r="B69" s="28">
        <v>65</v>
      </c>
      <c r="C69" s="29" t="s">
        <v>208</v>
      </c>
      <c r="D69" s="31" t="s">
        <v>127</v>
      </c>
    </row>
    <row r="70" spans="2:4" x14ac:dyDescent="0.2">
      <c r="B70" s="28">
        <v>66</v>
      </c>
      <c r="C70" s="29" t="s">
        <v>209</v>
      </c>
      <c r="D70" s="31" t="s">
        <v>128</v>
      </c>
    </row>
    <row r="71" spans="2:4" x14ac:dyDescent="0.2">
      <c r="B71" s="28">
        <v>67</v>
      </c>
      <c r="C71" s="29" t="s">
        <v>210</v>
      </c>
      <c r="D71" s="31" t="s">
        <v>129</v>
      </c>
    </row>
    <row r="72" spans="2:4" x14ac:dyDescent="0.2">
      <c r="B72" s="28">
        <v>68</v>
      </c>
      <c r="C72" s="29" t="s">
        <v>211</v>
      </c>
      <c r="D72" s="31" t="s">
        <v>130</v>
      </c>
    </row>
    <row r="73" spans="2:4" x14ac:dyDescent="0.2">
      <c r="B73" s="28">
        <v>69</v>
      </c>
      <c r="C73" s="29" t="s">
        <v>212</v>
      </c>
      <c r="D73" s="31" t="s">
        <v>131</v>
      </c>
    </row>
    <row r="74" spans="2:4" x14ac:dyDescent="0.2">
      <c r="B74" s="28">
        <v>70</v>
      </c>
      <c r="C74" s="29" t="s">
        <v>213</v>
      </c>
      <c r="D74" s="31" t="s">
        <v>132</v>
      </c>
    </row>
    <row r="75" spans="2:4" x14ac:dyDescent="0.2">
      <c r="B75" s="28">
        <v>71</v>
      </c>
      <c r="C75" s="29" t="s">
        <v>214</v>
      </c>
      <c r="D75" s="31" t="s">
        <v>133</v>
      </c>
    </row>
    <row r="76" spans="2:4" x14ac:dyDescent="0.2">
      <c r="B76" s="28">
        <v>72</v>
      </c>
      <c r="C76" s="29" t="s">
        <v>215</v>
      </c>
      <c r="D76" s="31" t="s">
        <v>134</v>
      </c>
    </row>
    <row r="77" spans="2:4" x14ac:dyDescent="0.2">
      <c r="B77" s="28">
        <v>73</v>
      </c>
      <c r="C77" s="29" t="s">
        <v>216</v>
      </c>
      <c r="D77" s="31" t="s">
        <v>135</v>
      </c>
    </row>
    <row r="78" spans="2:4" x14ac:dyDescent="0.2">
      <c r="B78" s="28">
        <v>74</v>
      </c>
      <c r="C78" s="29" t="s">
        <v>217</v>
      </c>
      <c r="D78" s="31" t="s">
        <v>136</v>
      </c>
    </row>
    <row r="79" spans="2:4" x14ac:dyDescent="0.2">
      <c r="B79" s="28">
        <v>75</v>
      </c>
      <c r="C79" s="29" t="s">
        <v>218</v>
      </c>
      <c r="D79" s="31" t="s">
        <v>137</v>
      </c>
    </row>
    <row r="80" spans="2:4" x14ac:dyDescent="0.2">
      <c r="B80" s="28">
        <v>76</v>
      </c>
      <c r="C80" s="29" t="s">
        <v>219</v>
      </c>
      <c r="D80" s="31" t="s">
        <v>138</v>
      </c>
    </row>
    <row r="81" spans="2:4" x14ac:dyDescent="0.2">
      <c r="B81" s="28">
        <v>77</v>
      </c>
      <c r="C81" s="29" t="s">
        <v>220</v>
      </c>
      <c r="D81" s="31" t="s">
        <v>139</v>
      </c>
    </row>
    <row r="82" spans="2:4" x14ac:dyDescent="0.2">
      <c r="B82" s="28">
        <v>78</v>
      </c>
      <c r="C82" s="29" t="s">
        <v>221</v>
      </c>
      <c r="D82" s="31" t="s">
        <v>140</v>
      </c>
    </row>
    <row r="83" spans="2:4" x14ac:dyDescent="0.2">
      <c r="B83" s="28">
        <v>79</v>
      </c>
      <c r="C83" s="29" t="s">
        <v>222</v>
      </c>
      <c r="D83" s="31" t="s">
        <v>141</v>
      </c>
    </row>
    <row r="84" spans="2:4" x14ac:dyDescent="0.2">
      <c r="B84" s="28">
        <v>80</v>
      </c>
      <c r="C84" s="29" t="s">
        <v>223</v>
      </c>
      <c r="D84" s="31" t="s">
        <v>142</v>
      </c>
    </row>
    <row r="85" spans="2:4" x14ac:dyDescent="0.2">
      <c r="B85" s="28">
        <v>81</v>
      </c>
      <c r="C85" s="29" t="s">
        <v>224</v>
      </c>
      <c r="D85" s="31" t="s">
        <v>143</v>
      </c>
    </row>
    <row r="86" spans="2:4" x14ac:dyDescent="0.2">
      <c r="B86" s="28">
        <v>82</v>
      </c>
      <c r="C86" s="29" t="s">
        <v>225</v>
      </c>
      <c r="D86" s="31" t="s">
        <v>144</v>
      </c>
    </row>
    <row r="87" spans="2:4" x14ac:dyDescent="0.2">
      <c r="B87" s="28">
        <v>83</v>
      </c>
      <c r="C87" s="29" t="s">
        <v>226</v>
      </c>
      <c r="D87" s="31" t="s">
        <v>145</v>
      </c>
    </row>
    <row r="88" spans="2:4" x14ac:dyDescent="0.2">
      <c r="B88" s="28">
        <v>84</v>
      </c>
      <c r="C88" s="29" t="s">
        <v>227</v>
      </c>
      <c r="D88" s="31" t="s">
        <v>146</v>
      </c>
    </row>
    <row r="89" spans="2:4" x14ac:dyDescent="0.2">
      <c r="B89" s="28">
        <v>85</v>
      </c>
      <c r="C89" s="29" t="s">
        <v>228</v>
      </c>
      <c r="D89" s="31" t="s">
        <v>147</v>
      </c>
    </row>
    <row r="90" spans="2:4" ht="16" x14ac:dyDescent="0.2">
      <c r="B90" s="28">
        <v>86</v>
      </c>
      <c r="C90" t="s">
        <v>229</v>
      </c>
      <c r="D90" t="s">
        <v>148</v>
      </c>
    </row>
  </sheetData>
  <hyperlinks>
    <hyperlink ref="C5" r:id="rId1" display="https://malwareanalysisspace.blogspot.com/search/label/Mirai" xr:uid="{F3F01CD6-3031-254E-9925-C9E967B35202}"/>
    <hyperlink ref="D5" r:id="rId2" display="http://bazaar.abuse.ch/browse/signature/Mirai/" xr:uid="{4AC962D3-AAD2-2B4F-AFDD-5C1F279B820D}"/>
    <hyperlink ref="C6" r:id="rId3" display="https://malwareanalysisspace.blogspot.com/search/label/Mirai" xr:uid="{07004A32-35E8-5F48-9DD3-715A47EC9F88}"/>
    <hyperlink ref="D6" r:id="rId4" display="http://bazaar.abuse.ch/browse/signature/Mirai/" xr:uid="{A5F6B1AC-DC58-9D4B-BA95-0C1D2EB767D5}"/>
    <hyperlink ref="C7" r:id="rId5" display="https://malwareanalysisspace.blogspot.com/search/label/Mirai" xr:uid="{A90D1A88-8A63-C048-B649-FEA692765683}"/>
    <hyperlink ref="D7" r:id="rId6" display="http://bazaar.abuse.ch/browse/signature/Mirai/" xr:uid="{436D8FD3-AA33-A349-9867-129BABA7247C}"/>
    <hyperlink ref="C8" r:id="rId7" display="https://malwareanalysisspace.blogspot.com/search/label/Mirai" xr:uid="{2296DDA8-449C-D84E-B63E-031F80B06E4E}"/>
    <hyperlink ref="D8" r:id="rId8" display="http://bazaar.abuse.ch/browse/signature/Mirai/" xr:uid="{80EE57A0-C606-6346-8E5F-3A291A21A546}"/>
    <hyperlink ref="C9" r:id="rId9" display="https://malwareanalysisspace.blogspot.com/search/label/Mirai" xr:uid="{65062BF5-BF6D-EA42-82D4-A3E73915FB80}"/>
    <hyperlink ref="D9" r:id="rId10" display="http://bazaar.abuse.ch/browse/signature/Mirai/" xr:uid="{6D25D1BF-42C6-5346-B565-DE80FB1B58D3}"/>
    <hyperlink ref="C10" r:id="rId11" display="https://tria.ge/220915-tdq7rahcal" xr:uid="{BFC1E3FC-F0CC-D543-AE31-6A869D92AAD7}"/>
    <hyperlink ref="D10" r:id="rId12" display="http://bazaar.abuse.ch/browse/signature/Mirai/" xr:uid="{498DE6E5-2153-8B45-B716-060645259378}"/>
    <hyperlink ref="C11" r:id="rId13" display="https://tria.ge/220915-tdq7rahcal" xr:uid="{31C78184-281E-8147-9683-76BD2DCCA9C3}"/>
    <hyperlink ref="D11" r:id="rId14" display="http://bazaar.abuse.ch/browse/signature/Mirai/" xr:uid="{A8E1A578-52E8-0B44-B16F-998B8827FD2E}"/>
    <hyperlink ref="C12" r:id="rId15" display="https://tria.ge/220915-tdq7rahcal" xr:uid="{5CC04F1E-BAB8-2B48-A65F-08F820B3EF53}"/>
    <hyperlink ref="D12" r:id="rId16" display="http://bazaar.abuse.ch/browse/signature/Mirai/" xr:uid="{9F37EC5B-40D6-904C-BD7E-EA44AD537FCC}"/>
    <hyperlink ref="C13" r:id="rId17" display="https://maltiverse.com/intelligence/sample/0b625b19f44fcf0d5d279b91e1a31797e05822bcecebf5eb89f34fd54e7b943a" xr:uid="{EE1EFFE4-C523-744E-AFF7-83FBBF74D25C}"/>
    <hyperlink ref="D13" r:id="rId18" display="http://bazaar.abuse.ch/browse/signature/Mirai/" xr:uid="{9EA7B493-B8DA-EF40-A8F5-B3C3C07CDC15}"/>
    <hyperlink ref="C14" r:id="rId19" display="https://maltiverse.com/intelligence/sample/0b625b19f44fcf0d5d279b91e1a31797e05822bcecebf5eb89f34fd54e7b943a" xr:uid="{74D1E1FC-30C3-2D4A-B1A7-3FC528C9947A}"/>
    <hyperlink ref="D14" r:id="rId20" display="http://bazaar.abuse.ch/browse/signature/Mirai/" xr:uid="{7CC9DA55-1E9A-5744-B5E7-32C0F8C8075B}"/>
    <hyperlink ref="C15" r:id="rId21" display="https://maltiverse.com/intelligence/sample/0b625b19f44fcf0d5d279b91e1a31797e05822bcecebf5eb89f34fd54e7b943a" xr:uid="{EF0B674A-C7AF-9341-86B5-795D409BF1E7}"/>
    <hyperlink ref="D15" r:id="rId22" display="http://bazaar.abuse.ch/browse/signature/Mirai/" xr:uid="{39DDBF11-35C2-ED44-932A-F3619EB041A0}"/>
    <hyperlink ref="C16" r:id="rId23" display="https://rewterz.com/threat-advisory/mirai-botnet-aka-katana-active-iocs-48" xr:uid="{DD5A86B0-3BCD-D941-A73E-9D7AA6A09BBE}"/>
    <hyperlink ref="D16" r:id="rId24" display="http://bazaar.abuse.ch/browse/signature/Mirai/" xr:uid="{2562CE9F-C6FE-9249-8457-28469DE38E1B}"/>
    <hyperlink ref="C17" r:id="rId25" display="https://rewterz.com/threat-advisory/mirai-botnet-aka-katana-active-iocs-48" xr:uid="{5B4757C8-A30E-7F40-900A-87E19338EFA9}"/>
    <hyperlink ref="D17" r:id="rId26" display="http://bazaar.abuse.ch/browse/signature/Mirai/" xr:uid="{87646051-5D0A-0D46-8C41-3E4499F1891F}"/>
    <hyperlink ref="C18" r:id="rId27" display="https://rewterz.com/threat-advisory/mirai-botnet-aka-katana-active-iocs-48" xr:uid="{5452DC74-4842-9E49-99D4-7281A7C7B8A5}"/>
    <hyperlink ref="D18" r:id="rId28" display="http://bazaar.abuse.ch/browse/signature/Mirai/" xr:uid="{222CB5D4-3B8E-3441-B05B-24A05ABC5A70}"/>
    <hyperlink ref="C19" r:id="rId29" display="https://rewterz.com/threat-advisory/mirai-botnet-aka-katana-active-iocs-48" xr:uid="{C5948341-1500-B94E-BD8B-8C48FE966F48}"/>
    <hyperlink ref="D19" r:id="rId30" display="http://bazaar.abuse.ch/browse/signature/Mirai/" xr:uid="{0E05030A-7389-8540-89D4-51EE5AF4ED53}"/>
    <hyperlink ref="C20" r:id="rId31" display="https://rewterz.com/threat-advisory/mirai-botnet-aka-katana-active-iocs-48" xr:uid="{DC3139A8-1B43-A345-89BB-DC86D1EC5B86}"/>
    <hyperlink ref="D20" r:id="rId32" display="http://bazaar.abuse.ch/browse/signature/Mirai/" xr:uid="{1E53F3AB-226F-1445-BF8B-7919C8A04BB9}"/>
    <hyperlink ref="C21" r:id="rId33" display="https://rewterz.com/threat-advisory/mirai-botnet-aka-katana-active-iocs-48" xr:uid="{62D7483F-1835-E740-98F2-002C01EC16B9}"/>
    <hyperlink ref="D21" r:id="rId34" display="http://bazaar.abuse.ch/browse/signature/Mirai/" xr:uid="{B7548C1B-02D1-FD48-B2A2-F2459A759F25}"/>
    <hyperlink ref="C22" r:id="rId35" display="https://rewterz.com/threat-advisory/mirai-botnet-aka-katana-active-iocs-48" xr:uid="{2ED5BB42-1D90-9A46-9F04-41AC5026A759}"/>
    <hyperlink ref="D22" r:id="rId36" display="http://bazaar.abuse.ch/browse/signature/Mirai/" xr:uid="{9F695704-3029-E542-9A8B-CF0CC7F57A10}"/>
    <hyperlink ref="C23" r:id="rId37" display="https://rewterz.com/threat-advisory/mirai-botnet-aka-katana-active-iocs-48" xr:uid="{4A1CCB5D-777E-AA40-BC27-5DC46A98A9A0}"/>
    <hyperlink ref="D23" r:id="rId38" display="http://bazaar.abuse.ch/browse/signature/Mirai/" xr:uid="{47603A39-C523-7E4F-AB36-660F34247D56}"/>
    <hyperlink ref="C24" r:id="rId39" display="https://rewterz.com/threat-advisory/mirai-botnet-aka-katana-active-iocs-48" xr:uid="{3186896A-5AEC-3740-9DA3-96424DB3B174}"/>
    <hyperlink ref="D24" r:id="rId40" display="http://bazaar.abuse.ch/browse/signature/Mirai/" xr:uid="{CED776EC-B4A8-B945-83C8-0728515884E0}"/>
    <hyperlink ref="C25" r:id="rId41" display="http://elkeid.bytedance.com/blogs/malicious_file_analyze/elkeid_20220508_botnet_1.html" xr:uid="{45A0188A-4087-AF4F-84FE-FB5ACD05307F}"/>
    <hyperlink ref="D25" r:id="rId42" display="http://bazaar.abuse.ch/browse/signature/Mirai/" xr:uid="{9AD271B1-9A6F-A045-BBFE-A4376D6822DE}"/>
    <hyperlink ref="C26" r:id="rId43" display="http://elkeid.bytedance.com/blogs/malicious_file_analyze/elkeid_20220508_botnet_1.html" xr:uid="{A4426884-ECDD-1F43-ACD6-D14B60BE80A8}"/>
    <hyperlink ref="D26" r:id="rId44" display="http://bazaar.abuse.ch/browse/signature/Mirai/" xr:uid="{AF261F15-006C-C546-AECE-4E263649422D}"/>
    <hyperlink ref="C27" r:id="rId45" display="http://bazaar.abuse.ch/browse/signature/Mirai/" xr:uid="{8B080EFC-6687-8D4E-91ED-A1307ED36151}"/>
    <hyperlink ref="C28" r:id="rId46" display="http://bazaar.abuse.ch/browse/signature/Mirai/" xr:uid="{55C48E58-6992-814F-AE51-6007F3EE29D9}"/>
    <hyperlink ref="C29" r:id="rId47" display="http://bazaar.abuse.ch/browse/signature/Mirai/" xr:uid="{C5588541-C0A8-9242-8190-0C9B9242C86E}"/>
    <hyperlink ref="C30" r:id="rId48" display="http://bazaar.abuse.ch/browse/signature/Mirai/" xr:uid="{EFE1166A-26D7-DE4E-805F-6E246E4287CA}"/>
    <hyperlink ref="C31" r:id="rId49" display="http://bazaar.abuse.ch/browse/signature/Mirai/" xr:uid="{BEB40E80-92A6-4A4D-A181-C593D6BE4F8A}"/>
    <hyperlink ref="C32" r:id="rId50" display="http://bazaar.abuse.ch/browse/signature/Mirai/" xr:uid="{CFC304F0-64A4-1548-8262-A2E6513AC817}"/>
    <hyperlink ref="C33" r:id="rId51" display="http://bazaar.abuse.ch/browse/signature/Mirai/" xr:uid="{22C6BDCC-A9C0-EE41-83AE-C0D7BA26B8AA}"/>
    <hyperlink ref="C34" r:id="rId52" display="http://bazaar.abuse.ch/browse/signature/Mirai/" xr:uid="{55872CA8-B497-8544-91E3-4EBDFD1E9058}"/>
    <hyperlink ref="C35" r:id="rId53" display="http://bazaar.abuse.ch/browse/signature/Mirai/" xr:uid="{44E88425-701C-414E-B4C4-10DD2DCDA69D}"/>
    <hyperlink ref="C36" r:id="rId54" display="http://bazaar.abuse.ch/browse/signature/Mirai/" xr:uid="{9DFAD924-1170-1740-B6F7-BB0615A42D21}"/>
    <hyperlink ref="C37" r:id="rId55" display="http://bazaar.abuse.ch/browse/signature/Mirai/" xr:uid="{20A40720-3D53-4E4A-AEE5-40298A5F5D29}"/>
    <hyperlink ref="C38" r:id="rId56" display="http://bazaar.abuse.ch/browse/signature/Mirai/" xr:uid="{8E0AB19B-A4E9-9C4F-B3B9-528CF8B77DF3}"/>
    <hyperlink ref="C39" r:id="rId57" display="http://bazaar.abuse.ch/browse/signature/Mirai/" xr:uid="{DEFBE2A5-2100-6C40-8465-ADABEA6E3A9D}"/>
    <hyperlink ref="C40" r:id="rId58" display="http://bazaar.abuse.ch/browse/signature/Mirai/" xr:uid="{B4691281-52A6-9144-9E12-7534426BC8A9}"/>
    <hyperlink ref="C41" r:id="rId59" display="http://bazaar.abuse.ch/browse/signature/Mirai/" xr:uid="{7823656A-82DE-2F46-8750-15910A567EB3}"/>
    <hyperlink ref="C42" r:id="rId60" display="http://bazaar.abuse.ch/browse/signature/Mirai/" xr:uid="{06CF3581-4163-5B46-98C0-A9EA69CF2D5C}"/>
    <hyperlink ref="C43" r:id="rId61" display="http://bazaar.abuse.ch/browse/signature/Mirai/" xr:uid="{A4070B8C-B277-E84F-9589-A525CD2508AD}"/>
    <hyperlink ref="C44" r:id="rId62" display="http://bazaar.abuse.ch/browse/signature/Mirai/" xr:uid="{719F59C9-1C8A-844D-A6A8-923A28D8E895}"/>
    <hyperlink ref="C45" r:id="rId63" display="http://bazaar.abuse.ch/browse/signature/Mirai/" xr:uid="{8198D2E5-AC43-3949-B791-7E83D4BE8FDD}"/>
    <hyperlink ref="C46" r:id="rId64" display="http://bazaar.abuse.ch/browse/signature/Mirai/" xr:uid="{0473412C-1E8E-FD47-A0E6-EC653F334851}"/>
    <hyperlink ref="C47" r:id="rId65" display="http://bazaar.abuse.ch/browse/signature/Mirai/" xr:uid="{B8EF0A75-7190-B946-8734-854451F8591C}"/>
    <hyperlink ref="C48" r:id="rId66" display="http://bazaar.abuse.ch/browse/signature/Mirai/" xr:uid="{0B407D53-D76E-5D4B-8330-F728769EAC81}"/>
    <hyperlink ref="C49" r:id="rId67" display="http://bazaar.abuse.ch/browse/signature/Mirai/" xr:uid="{AB723CE0-77F5-2F46-B80F-269BED966805}"/>
    <hyperlink ref="C50" r:id="rId68" display="http://bazaar.abuse.ch/browse/signature/Mirai/" xr:uid="{69E09BCC-4C2A-0544-BE64-9D082900E7AC}"/>
    <hyperlink ref="C51" r:id="rId69" display="http://bazaar.abuse.ch/browse/signature/Mirai/" xr:uid="{52E1B4C1-E13A-5C4B-8A80-C2AD5255CB08}"/>
    <hyperlink ref="C52" r:id="rId70" display="http://bazaar.abuse.ch/browse/signature/Mirai/" xr:uid="{74908345-4655-A840-B895-D5F5363FB4D6}"/>
    <hyperlink ref="C53" r:id="rId71" display="http://bazaar.abuse.ch/browse/signature/Mirai/" xr:uid="{C53FFDE1-2703-BF4B-A586-B97DF6F7D744}"/>
    <hyperlink ref="C54" r:id="rId72" display="http://bazaar.abuse.ch/browse/signature/Mirai/" xr:uid="{CE60BB6E-7332-AB45-84C5-D1B8784A376A}"/>
    <hyperlink ref="C55" r:id="rId73" display="http://bazaar.abuse.ch/browse/signature/Mirai/" xr:uid="{E842D20C-F944-8241-AF37-CCC1AD36CB8F}"/>
    <hyperlink ref="C56" r:id="rId74" display="http://bazaar.abuse.ch/browse/signature/Mirai/" xr:uid="{3EE9B983-D727-CE47-A019-D46D89911ABA}"/>
    <hyperlink ref="C57" r:id="rId75" display="http://bazaar.abuse.ch/browse/signature/Mirai/" xr:uid="{756F99FE-D81B-7444-929E-482BB281D76B}"/>
    <hyperlink ref="C58" r:id="rId76" display="http://bazaar.abuse.ch/browse/signature/Mirai/" xr:uid="{FB2AE220-C04F-7B4F-9624-1F7D20B28D66}"/>
    <hyperlink ref="C59" r:id="rId77" display="http://bazaar.abuse.ch/browse/signature/Mirai/" xr:uid="{7B2D6552-A9E8-804A-8288-B812AC9199AA}"/>
    <hyperlink ref="C60" r:id="rId78" display="http://bazaar.abuse.ch/browse/signature/Mirai/" xr:uid="{31D7980F-DB77-CB42-9582-B0A3B017EE53}"/>
    <hyperlink ref="C61" r:id="rId79" display="http://bazaar.abuse.ch/browse/signature/Mirai/" xr:uid="{DE548F22-1BAF-FB41-95BC-CD5C8CA975C3}"/>
    <hyperlink ref="C62" r:id="rId80" display="http://bazaar.abuse.ch/browse/signature/Mirai/" xr:uid="{500B347D-D39F-224A-8C48-26E311D86E41}"/>
    <hyperlink ref="C63" r:id="rId81" display="http://bazaar.abuse.ch/browse/signature/Mirai/" xr:uid="{3B7AA63D-6374-FF4F-978B-C2A467D2F993}"/>
    <hyperlink ref="C64" r:id="rId82" display="http://bazaar.abuse.ch/browse/signature/Mirai/" xr:uid="{E9C8685F-35F7-8A47-AF65-0475E35D074D}"/>
    <hyperlink ref="C65" r:id="rId83" display="http://bazaar.abuse.ch/browse/signature/Mirai/" xr:uid="{F8FAC14E-F84B-EB46-B06A-2CB5A677642F}"/>
    <hyperlink ref="C66" r:id="rId84" display="http://bazaar.abuse.ch/browse/signature/Mirai/" xr:uid="{B59AAC5B-3FDC-3D45-B948-823C6CBEFC8C}"/>
    <hyperlink ref="C67" r:id="rId85" display="http://bazaar.abuse.ch/browse/signature/Mirai/" xr:uid="{88DE8AD0-85BD-934C-8C8A-72D9F94F6CDE}"/>
    <hyperlink ref="C68" r:id="rId86" display="http://bazaar.abuse.ch/browse/signature/Mirai/" xr:uid="{7D38036E-5D7E-2F46-940E-1BC21E5CB1CE}"/>
    <hyperlink ref="C69" r:id="rId87" display="http://bazaar.abuse.ch/browse/signature/Mirai/" xr:uid="{6FD35DAE-52E9-2141-AA7A-13AD9FDCBC59}"/>
    <hyperlink ref="C70" r:id="rId88" display="http://bazaar.abuse.ch/browse/signature/Mirai/" xr:uid="{FB4DD245-370F-284E-BC34-FADF9BFEBB10}"/>
    <hyperlink ref="C71" r:id="rId89" display="http://bazaar.abuse.ch/browse/signature/Mirai/" xr:uid="{1B175136-F41D-5747-86AA-B1BC489ADC3D}"/>
    <hyperlink ref="C72" r:id="rId90" display="http://bazaar.abuse.ch/browse/signature/Mirai/" xr:uid="{43B3129C-CCC0-8242-B009-A0BE1F2F3DD6}"/>
    <hyperlink ref="C73" r:id="rId91" display="http://bazaar.abuse.ch/browse/signature/Mirai/" xr:uid="{DB75911C-6F51-404D-9578-0EB11815EC7F}"/>
    <hyperlink ref="C74" r:id="rId92" display="http://bazaar.abuse.ch/browse/signature/Mirai/" xr:uid="{2CD767EE-7B8A-3044-A508-96273CAD72D4}"/>
    <hyperlink ref="C75" r:id="rId93" display="http://bazaar.abuse.ch/browse/signature/Mirai/" xr:uid="{BD4C80F8-1AF0-CE45-BA79-BD59FBE75FF0}"/>
    <hyperlink ref="C76" r:id="rId94" display="http://bazaar.abuse.ch/browse/signature/Mirai/" xr:uid="{82FA2DB6-C5EC-A844-8B81-56418AF2EA4A}"/>
    <hyperlink ref="C77" r:id="rId95" display="http://bazaar.abuse.ch/browse/signature/Mirai/" xr:uid="{B33D6D83-6233-694A-A070-2B6287960C9B}"/>
    <hyperlink ref="C78" r:id="rId96" display="http://bazaar.abuse.ch/browse/signature/Mirai/" xr:uid="{13BDBA4B-3E5B-104D-9392-4DBEA2BC4686}"/>
    <hyperlink ref="C79" r:id="rId97" display="http://bazaar.abuse.ch/browse/signature/Mirai/" xr:uid="{3C6DF22B-5B52-E84F-8BF2-87DD54F31C06}"/>
    <hyperlink ref="C80" r:id="rId98" display="http://bazaar.abuse.ch/browse/signature/Mirai/" xr:uid="{F1DAE733-D71D-074D-97FC-275A0AA7A40C}"/>
    <hyperlink ref="C81" r:id="rId99" display="http://bazaar.abuse.ch/browse/signature/Mirai/" xr:uid="{C2228CD3-F635-0541-8726-BB52B0AEDBD4}"/>
    <hyperlink ref="C82" r:id="rId100" display="http://bazaar.abuse.ch/browse/signature/Mirai/" xr:uid="{12590BD6-4E91-9145-83A1-6D4B6749E5DA}"/>
    <hyperlink ref="C83" r:id="rId101" display="http://bazaar.abuse.ch/browse/signature/Mirai/" xr:uid="{D8EFF096-BF51-9049-9178-42FF61C1E926}"/>
    <hyperlink ref="C84" r:id="rId102" display="http://bazaar.abuse.ch/browse/signature/Mirai/" xr:uid="{989E46C6-3A84-1748-BF45-BEB3E0D7964D}"/>
    <hyperlink ref="C85" r:id="rId103" display="http://bazaar.abuse.ch/browse/signature/Mirai/" xr:uid="{06F335E8-1EE0-3D49-818F-E23CC1C48659}"/>
    <hyperlink ref="C86" r:id="rId104" display="http://bazaar.abuse.ch/browse/signature/Mirai/" xr:uid="{3374D536-1D4A-8A47-B90E-581CD6A12F02}"/>
    <hyperlink ref="C87" r:id="rId105" display="http://bazaar.abuse.ch/browse/signature/Mirai/" xr:uid="{0892EE3F-AE0D-8047-ADC2-C8076E79C5F9}"/>
    <hyperlink ref="C88" r:id="rId106" display="http://bazaar.abuse.ch/browse/signature/Mirai/" xr:uid="{44B98FF9-B093-6342-AE97-FE58C3488A3E}"/>
    <hyperlink ref="C89" r:id="rId107" display="http://bazaar.abuse.ch/browse/signature/Mirai/" xr:uid="{2B93E205-C194-464E-B658-48F5B567294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CB22-92BC-8345-BE7C-7DC90B5ECECA}">
  <dimension ref="B2:E32"/>
  <sheetViews>
    <sheetView zoomScale="130" zoomScaleNormal="130" workbookViewId="0">
      <selection activeCell="F31" sqref="F31"/>
    </sheetView>
  </sheetViews>
  <sheetFormatPr baseColWidth="10" defaultRowHeight="16" x14ac:dyDescent="0.2"/>
  <cols>
    <col min="1" max="1" width="10.83203125" style="11"/>
    <col min="2" max="3" width="10.83203125" style="9"/>
    <col min="4" max="4" width="22.5" style="9" customWidth="1"/>
    <col min="5" max="16384" width="10.83203125" style="11"/>
  </cols>
  <sheetData>
    <row r="2" spans="2:5" ht="20" x14ac:dyDescent="0.2">
      <c r="C2" s="57" t="s">
        <v>257</v>
      </c>
      <c r="D2" s="57"/>
      <c r="E2" s="57"/>
    </row>
    <row r="4" spans="2:5" x14ac:dyDescent="0.2">
      <c r="C4" s="58" t="s">
        <v>259</v>
      </c>
    </row>
    <row r="5" spans="2:5" x14ac:dyDescent="0.2">
      <c r="B5" s="16" t="s">
        <v>0</v>
      </c>
      <c r="C5" s="16" t="s">
        <v>9</v>
      </c>
      <c r="D5" s="16" t="s">
        <v>258</v>
      </c>
    </row>
    <row r="6" spans="2:5" x14ac:dyDescent="0.2">
      <c r="B6" s="9">
        <v>1</v>
      </c>
      <c r="C6" s="9">
        <v>2026</v>
      </c>
      <c r="D6" s="9">
        <v>1</v>
      </c>
    </row>
    <row r="7" spans="2:5" x14ac:dyDescent="0.2">
      <c r="B7" s="9">
        <v>2</v>
      </c>
      <c r="C7" s="9">
        <v>2025</v>
      </c>
      <c r="D7" s="9">
        <v>2</v>
      </c>
    </row>
    <row r="8" spans="2:5" x14ac:dyDescent="0.2">
      <c r="B8" s="9">
        <v>3</v>
      </c>
      <c r="C8" s="9">
        <v>2024</v>
      </c>
      <c r="D8" s="9">
        <v>3</v>
      </c>
    </row>
    <row r="9" spans="2:5" x14ac:dyDescent="0.2">
      <c r="B9" s="9">
        <v>4</v>
      </c>
      <c r="C9" s="9">
        <v>2023</v>
      </c>
      <c r="D9" s="9">
        <v>4</v>
      </c>
    </row>
    <row r="10" spans="2:5" x14ac:dyDescent="0.2">
      <c r="B10" s="9">
        <v>5</v>
      </c>
      <c r="C10" s="9">
        <v>2022</v>
      </c>
      <c r="D10" s="9">
        <v>5</v>
      </c>
    </row>
    <row r="11" spans="2:5" x14ac:dyDescent="0.2">
      <c r="B11" s="9">
        <v>6</v>
      </c>
      <c r="C11" s="9">
        <v>2021</v>
      </c>
      <c r="D11" s="9">
        <v>6</v>
      </c>
    </row>
    <row r="12" spans="2:5" x14ac:dyDescent="0.2">
      <c r="B12" s="9">
        <v>7</v>
      </c>
      <c r="C12" s="9">
        <v>2020</v>
      </c>
      <c r="D12" s="9">
        <v>7</v>
      </c>
    </row>
    <row r="13" spans="2:5" x14ac:dyDescent="0.2">
      <c r="B13" s="9">
        <v>8</v>
      </c>
      <c r="C13" s="9">
        <v>2019</v>
      </c>
      <c r="D13" s="9">
        <v>8</v>
      </c>
    </row>
    <row r="14" spans="2:5" x14ac:dyDescent="0.2">
      <c r="B14" s="9">
        <v>9</v>
      </c>
      <c r="C14" s="9">
        <v>2018</v>
      </c>
      <c r="D14" s="9">
        <v>9</v>
      </c>
    </row>
    <row r="15" spans="2:5" x14ac:dyDescent="0.2">
      <c r="B15" s="9">
        <v>10</v>
      </c>
      <c r="C15" s="9">
        <v>2017</v>
      </c>
      <c r="D15" s="9">
        <v>10</v>
      </c>
    </row>
    <row r="16" spans="2:5" x14ac:dyDescent="0.2">
      <c r="B16" s="9">
        <v>11</v>
      </c>
      <c r="C16" s="9">
        <v>2016</v>
      </c>
      <c r="D16" s="9">
        <v>11</v>
      </c>
    </row>
    <row r="17" spans="2:4" x14ac:dyDescent="0.2">
      <c r="B17" s="9">
        <v>12</v>
      </c>
      <c r="C17" s="9">
        <v>2015</v>
      </c>
      <c r="D17" s="9">
        <v>12</v>
      </c>
    </row>
    <row r="18" spans="2:4" x14ac:dyDescent="0.2">
      <c r="B18" s="9">
        <v>13</v>
      </c>
      <c r="C18" s="9">
        <v>2014</v>
      </c>
      <c r="D18" s="9">
        <v>13</v>
      </c>
    </row>
    <row r="19" spans="2:4" x14ac:dyDescent="0.2">
      <c r="B19" s="9">
        <v>14</v>
      </c>
      <c r="C19" s="9">
        <v>2013</v>
      </c>
      <c r="D19" s="9">
        <v>14</v>
      </c>
    </row>
    <row r="20" spans="2:4" x14ac:dyDescent="0.2">
      <c r="B20" s="9">
        <v>15</v>
      </c>
      <c r="C20" s="9">
        <v>2012</v>
      </c>
      <c r="D20" s="9">
        <v>15</v>
      </c>
    </row>
    <row r="21" spans="2:4" x14ac:dyDescent="0.2">
      <c r="B21" s="9">
        <v>16</v>
      </c>
      <c r="C21" s="9">
        <v>2011</v>
      </c>
      <c r="D21" s="9">
        <v>16</v>
      </c>
    </row>
    <row r="22" spans="2:4" x14ac:dyDescent="0.2">
      <c r="B22" s="9">
        <v>17</v>
      </c>
      <c r="C22" s="9">
        <v>2010</v>
      </c>
      <c r="D22" s="9">
        <v>17</v>
      </c>
    </row>
    <row r="23" spans="2:4" x14ac:dyDescent="0.2">
      <c r="B23" s="9">
        <v>18</v>
      </c>
      <c r="C23" s="9">
        <v>2009</v>
      </c>
      <c r="D23" s="9">
        <v>18</v>
      </c>
    </row>
    <row r="24" spans="2:4" x14ac:dyDescent="0.2">
      <c r="B24" s="9">
        <v>19</v>
      </c>
      <c r="C24" s="9">
        <v>2008</v>
      </c>
      <c r="D24" s="9">
        <v>19</v>
      </c>
    </row>
    <row r="25" spans="2:4" x14ac:dyDescent="0.2">
      <c r="B25" s="9">
        <v>20</v>
      </c>
      <c r="C25" s="9">
        <v>2007</v>
      </c>
      <c r="D25" s="9">
        <v>20</v>
      </c>
    </row>
    <row r="26" spans="2:4" x14ac:dyDescent="0.2">
      <c r="B26" s="9">
        <v>21</v>
      </c>
      <c r="C26" s="9">
        <v>2006</v>
      </c>
      <c r="D26" s="9">
        <v>21</v>
      </c>
    </row>
    <row r="27" spans="2:4" x14ac:dyDescent="0.2">
      <c r="B27" s="9">
        <v>22</v>
      </c>
      <c r="C27" s="9">
        <v>2005</v>
      </c>
      <c r="D27" s="9">
        <v>22</v>
      </c>
    </row>
    <row r="28" spans="2:4" x14ac:dyDescent="0.2">
      <c r="B28" s="9">
        <v>23</v>
      </c>
      <c r="C28" s="9">
        <v>2004</v>
      </c>
      <c r="D28" s="9">
        <v>23</v>
      </c>
    </row>
    <row r="29" spans="2:4" x14ac:dyDescent="0.2">
      <c r="B29" s="9">
        <v>24</v>
      </c>
      <c r="C29" s="9">
        <v>2003</v>
      </c>
      <c r="D29" s="9">
        <v>24</v>
      </c>
    </row>
    <row r="30" spans="2:4" x14ac:dyDescent="0.2">
      <c r="B30" s="9">
        <v>25</v>
      </c>
      <c r="C30" s="9">
        <v>2002</v>
      </c>
      <c r="D30" s="9">
        <v>25</v>
      </c>
    </row>
    <row r="31" spans="2:4" x14ac:dyDescent="0.2">
      <c r="B31" s="9">
        <v>26</v>
      </c>
      <c r="C31" s="9">
        <v>2001</v>
      </c>
      <c r="D31" s="9">
        <v>26</v>
      </c>
    </row>
    <row r="32" spans="2:4" x14ac:dyDescent="0.2">
      <c r="B32" s="9">
        <v>27</v>
      </c>
      <c r="C32" s="9">
        <v>2000</v>
      </c>
      <c r="D32" s="9">
        <v>27</v>
      </c>
    </row>
  </sheetData>
  <mergeCells count="1">
    <mergeCell ref="C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Samples</vt:lpstr>
      <vt:lpstr>Familias</vt:lpstr>
      <vt:lpstr>Datasets</vt:lpstr>
      <vt:lpstr>URLs</vt:lpstr>
      <vt:lpstr>Papers</vt:lpstr>
      <vt:lpstr>86 con LLM</vt:lpstr>
      <vt:lpstr>Estadisticas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Acosta Bermejo</dc:creator>
  <cp:lastModifiedBy>Raul Acosta Bermejo</cp:lastModifiedBy>
  <dcterms:created xsi:type="dcterms:W3CDTF">2026-02-02T03:27:34Z</dcterms:created>
  <dcterms:modified xsi:type="dcterms:W3CDTF">2026-02-22T22:41:38Z</dcterms:modified>
</cp:coreProperties>
</file>
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Fakeme\Downloads\"/>
    </mc:Choice>
  </mc:AlternateContent>
  <xr:revisionPtr revIDLastSave="0" documentId="8_{522681A9-1723-4E15-BB7C-FE729441D998}" xr6:coauthVersionLast="47" xr6:coauthVersionMax="47" xr10:uidLastSave="{00000000-0000-0000-0000-000000000000}"/>
  <bookViews>
    <workbookView xWindow="-108" yWindow="-108" windowWidth="23256" windowHeight="12456" xr2:uid="{00000000-000D-0000-FFFF-FFFF00000000}"/>
  </bookViews>
  <sheets>
    <sheet name="Muestras Botnets" sheetId="1" r:id="rId1"/>
  </sheets>
  <definedNames>
    <definedName name="_xlnm._FilterDatabase" localSheetId="0" hidden="1">'Muestras Botnets'!$A$2:$AC$2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2" i="1" l="1"/>
  <c r="I101" i="1"/>
  <c r="I100" i="1"/>
  <c r="I99" i="1"/>
  <c r="I97" i="1"/>
  <c r="I98"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1" i="1"/>
  <c r="I10" i="1"/>
  <c r="I9" i="1"/>
  <c r="I8" i="1"/>
  <c r="I7" i="1"/>
  <c r="I6" i="1"/>
  <c r="I5" i="1"/>
  <c r="I4" i="1"/>
  <c r="I12" i="1"/>
  <c r="I3" i="1"/>
</calcChain>
</file>

<file path=xl/sharedStrings.xml><?xml version="1.0" encoding="utf-8"?>
<sst xmlns="http://schemas.openxmlformats.org/spreadsheetml/2006/main" count="2628" uniqueCount="1045">
  <si>
    <t>Familia</t>
  </si>
  <si>
    <t>Hash SHA256</t>
  </si>
  <si>
    <t>Año</t>
  </si>
  <si>
    <t>URL VirusTotal</t>
  </si>
  <si>
    <t>https://www.virustotal.com/gui/file/27da7a884b5951158c88a71c21e9d786de7c3b577330033f398b43f480cc8790</t>
  </si>
  <si>
    <t>Botnet que usa blockchain Bitcoin como C2 resiliente. Roba credenciales, proxy y mina criptomonedas. Variante: A (2019). Tipo: Botnet Multipropósito. Estado: Activo. Detectado por 31 motores AV en VirusTotal.</t>
  </si>
  <si>
    <t>Hajime</t>
  </si>
  <si>
    <t>Botnet P2P especializada en spam de criptomonedas y phishing. Operada por Peter Levashov. Versión: v2 (2014). Tipo: Botnet de Spam P2P. Estado: Desmantelado (2017). Detectado por 24 motores AV en VirusTotal.</t>
  </si>
  <si>
    <t>Mirai</t>
  </si>
  <si>
    <t>Troyano bancario con capacidad botnet que distribuye ransomware Black Basta y Conti. Campaña: B (2007). Tipo: Troyano Bancario / Botnet. Estado: Desmantelado (2023). Detectado por 16 motores AV en VirusTotal.</t>
  </si>
  <si>
    <t xml:space="preserve">Mirai </t>
  </si>
  <si>
    <t>067e586661ff15e55ea84a95749970e9970e062d2462dc455d30a268ab6290f7</t>
  </si>
  <si>
    <t>https://www.virustotal.com/gui/file/067e586661ff15e55ea84a95749970e9970e062d2462dc455d30a268ab6290f7/summary</t>
  </si>
  <si>
    <t>fd3606e274f6fa16cb0aadb82c2f06be8dadbef5995843f4520800f9f296e52b</t>
  </si>
  <si>
    <t>https://www.virustotal.com/gui/file/https://www.virustotal.com/gui/file/fd3606e274f6fa16cb0aadb82c2f06be8dadbef5995843f4520800f9f296e52b/detection</t>
  </si>
  <si>
    <t>https://virusshare.com/apiv2/download?apikey=AyBZnvviVMkKJ8vOU4LJl7GmG5A0jQ75&amp;hash=067e586661ff15e55ea84a95749970e9970e062d2462dc455d30a268ab6290f7</t>
  </si>
  <si>
    <t>f639e7c6e69970d753d741aab0ee56a88444a30579e6e80fe06b8f680c63ba13</t>
  </si>
  <si>
    <t>https://www.virustotal.com/gui/file/f639e7c6e69970d753d741aab0ee56a88444a30579e6e80fe06b8f680c63ba13</t>
  </si>
  <si>
    <t>URL Descarga "Virus Share"</t>
  </si>
  <si>
    <t>5222426b7771863a3a7c7967d86bc73044d5885353aee447d057220b9ba1811a</t>
  </si>
  <si>
    <t>https://www.virustotal.com/gui/file/5222426b7771863a3a7c7967d86bc73044d5885353aee447d057220b9ba1811a</t>
  </si>
  <si>
    <t>e0525efe18052d929e79f0476b15af0fb8aa71886c3ac1932e77d13dd0ac7204</t>
  </si>
  <si>
    <t>https://www.virustotal.com/gui/file/e0525efe18052d929e79f0476b15af0fb8aa71886c3ac1932e77d13dd0ac7204</t>
  </si>
  <si>
    <t>1566904673804300aaa770e91dec6d996e856b7cc104fade0323780ddf782b14</t>
  </si>
  <si>
    <t>https://www.virustotal.com/gui/file/1566904673804300aaa770e91dec6d996e856b7cc104fade0323780ddf782b14</t>
  </si>
  <si>
    <t>1567041cdc0c1bda7f253378d4c58976bc7689016aa954211f64169f921709eb</t>
  </si>
  <si>
    <t>https://www.virustotal.com/gui/file/1567041cdc0c1bda7f253378d4c58976bc7689016aa954211f64169f921709eb</t>
  </si>
  <si>
    <t>94b5087311b3e58a0e4f569996096e5d6d67ec1fabed0581ab54c0e714a675a7</t>
  </si>
  <si>
    <t>https://www.virustotal.com/gui/file/94b5087311b3e58a0e4f569996096e5d6d67ec1fabed0581ab54c0e714a675a7</t>
  </si>
  <si>
    <t xml:space="preserve">	94b83fd7382bc02adf64c6aca135ec9613da1e055e47a43c6bd8156f17d5d4ff</t>
  </si>
  <si>
    <t>https://www.virustotal.com/gui/file/94b83fd7382bc02adf64c6aca135ec9613da1e055e47a43c6bd8156f17d5d4ff</t>
  </si>
  <si>
    <t>b7bf02d25f8121fa573a00256672d5a15b70bd86533273042a8c8a026b0e09ae</t>
  </si>
  <si>
    <t>https://www.virustotal.com/gui/file/b7bf02d25f8121fa573a00256672d5a15b70bd86533273042a8c8a026b0e09ae</t>
  </si>
  <si>
    <t>https://virusshare.com/apiv2/download?apikey=AyBZnvviVMkKJ8vOU4LJl7GmG5A0jQ75&amp;hash=fd3606e274f6fa16cb0aadb82c2f06be8dadbef5995843f4520800f9f296e52b</t>
  </si>
  <si>
    <t>https://virusshare.com/apiv2/download?apikey=AyBZnvviVMkKJ8vOU4LJl7GmG5A0jQ75&amp;hash=b7bf02d25f8121fa573a00256672d5a15b70bd86533273042a8c8a026b0e09ae</t>
  </si>
  <si>
    <t>https://virusshare.com/apiv2/download?apikey=AyBZnvviVMkKJ8vOU4LJl7GmG5A0jQ75&amp;hash=94b83fd7382bc02adf64c6aca135ec9613da1e055e47a43c6bd8156f17d5d4ff</t>
  </si>
  <si>
    <t>https://virusshare.com/apiv2/download?apikey=AyBZnvviVMkKJ8vOU4LJl7GmG5A0jQ75&amp;hash=94b5087311b3e58a0e4f569996096e5d6d67ec1fabed0581ab54c0e714a675a7</t>
  </si>
  <si>
    <t>https://virusshare.com/apiv2/download?apikey=AyBZnvviVMkKJ8vOU4LJl7GmG5A0jQ75&amp;hash=1567041cdc0c1bda7f253378d4c58976bc7689016aa954211f64169f921709eb</t>
  </si>
  <si>
    <t>https://virusshare.com/apiv2/download?apikey=AyBZnvviVMkKJ8vOU4LJl7GmG5A0jQ75&amp;hash=1566904673804300aaa770e91dec6d996e856b7cc104fade0323780ddf782b14</t>
  </si>
  <si>
    <t>https://virusshare.com/apiv2/download?apikey=AyBZnvviVMkKJ8vOU4LJl7GmG5A0jQ75&amp;hash=e0525efe18052d929e79f0476b15af0fb8aa71886c3ac1932e77d13dd0ac7204</t>
  </si>
  <si>
    <t>https://virusshare.com/apiv2/download?apikey=AyBZnvviVMkKJ8vOU4LJl7GmG5A0jQ75&amp;hash=5222426b7771863a3a7c7967d86bc73044d5885353aee447d057220b9ba1811a</t>
  </si>
  <si>
    <t>https://virusshare.com/apiv2/download?apikey=AyBZnvviVMkKJ8vOU4LJl7GmG5A0jQ75&amp;hash=f639e7c6e69970d753d741aab0ee56a88444a30579e6e80fe06b8f680c63ba13</t>
  </si>
  <si>
    <t>Hash MD5</t>
  </si>
  <si>
    <t>Hash SHA1</t>
  </si>
  <si>
    <t>Porc</t>
  </si>
  <si>
    <t>c533533006f75de1049dcd9c480f10c6</t>
  </si>
  <si>
    <t>3bb084707e2db3a0a8606b8dac72fb21f1c8c8d8</t>
  </si>
  <si>
    <t>Num</t>
  </si>
  <si>
    <t>HASH</t>
  </si>
  <si>
    <t>Análisis Estatico</t>
  </si>
  <si>
    <t>CVE</t>
  </si>
  <si>
    <t>LINK CVE</t>
  </si>
  <si>
    <t>SSDEEP</t>
  </si>
  <si>
    <t>TLSH</t>
  </si>
  <si>
    <t>FILE TYPE</t>
  </si>
  <si>
    <t>MAGIC</t>
  </si>
  <si>
    <t>TRLD</t>
  </si>
  <si>
    <t>MAGIKA</t>
  </si>
  <si>
    <t>FILE SIZE</t>
  </si>
  <si>
    <t>CLASS</t>
  </si>
  <si>
    <t>DATA</t>
  </si>
  <si>
    <t>HEADER VISION</t>
  </si>
  <si>
    <t>OS ABI</t>
  </si>
  <si>
    <t>OBJECT FYLE TYPE</t>
  </si>
  <si>
    <t>PROGRAM HEADERS</t>
  </si>
  <si>
    <t>SECTION HEADERS</t>
  </si>
  <si>
    <t xml:space="preserve">
8000a5645dfa8a9bf600b2fb5206b5ed8ad8585f</t>
  </si>
  <si>
    <t xml:space="preserve">
c857316eb58f4fd1727e05349045e8cb</t>
  </si>
  <si>
    <t>1536:PKgor9Y1usCJsRPg26Xy8mCkBnKSQDVMQFM8K:tSsUsRAXgLNmM2A</t>
  </si>
  <si>
    <t>T184434DD5B400DE7CF98BEB7A80124A0AFA35726154A30F27A267FD93AC720565C2FD47</t>
  </si>
  <si>
    <t>ELF</t>
  </si>
  <si>
    <t xml:space="preserve">
ELF 32-bit MSB executable, Motorola m68k, 68020, version 1 (SYSV), statically linked, stripped</t>
  </si>
  <si>
    <t>ELF Executable and Linkable format (generic) (100%)</t>
  </si>
  <si>
    <t xml:space="preserve">
ELF Executable and Linkable format (generic) (100%)</t>
  </si>
  <si>
    <t xml:space="preserve">
ELF32   Operation system: Unix [EXEC 68K-32]</t>
  </si>
  <si>
    <t xml:space="preserve">
58.32 KB (59720 bytes)</t>
  </si>
  <si>
    <t xml:space="preserve">
ELF32</t>
  </si>
  <si>
    <t xml:space="preserve">
2's complement, big endian</t>
  </si>
  <si>
    <t>1 (current)</t>
  </si>
  <si>
    <t>UNIX - System V</t>
  </si>
  <si>
    <t>EXEC (Executable file)</t>
  </si>
  <si>
    <t>3</t>
  </si>
  <si>
    <t>10</t>
  </si>
  <si>
    <t>MC68000</t>
  </si>
  <si>
    <t xml:space="preserve">
0x1</t>
  </si>
  <si>
    <t>0x1</t>
  </si>
  <si>
    <t>REQUIRED ARCHITECTURE</t>
  </si>
  <si>
    <t>OBJECT FILE VERSION</t>
  </si>
  <si>
    <t>ELF 32-bit MSB executable, Motorola m68k, 68020, version 1 (SYSV), statically linked, stripped</t>
  </si>
  <si>
    <t>ELF32   Operation system: Unix [EXEC 68K-32]</t>
  </si>
  <si>
    <t>ELF32</t>
  </si>
  <si>
    <t>58.32 KB (59720 bytes)</t>
  </si>
  <si>
    <t>2's complement, big endian</t>
  </si>
  <si>
    <t>CVE-2024-45163</t>
  </si>
  <si>
    <t>The Mirai botnet through 2024-08-19 mishandles simultaneous TCP connections to the CNC (command and control) server. Unauthenticated sessions remain open, causing resource consumption. For example, an attacker can send a recognized username (such as root), or can send arbitrary data.</t>
  </si>
  <si>
    <t>Descripción por CVE</t>
  </si>
  <si>
    <t>https://www.cve.org/CVERecord?id=CVE-2024-45163</t>
  </si>
  <si>
    <t>a7eda0d8bb2179591b73ecd6c62162da</t>
  </si>
  <si>
    <t>2558b2120e097497f2ef22a8fc2223dc5324d9bb</t>
  </si>
  <si>
    <t>1536:HTFUDmYnO+juKAI/rKWJq28YdL52h7fzC6GYfUzuwnmYlDQLoIx0o079aQnhn:z51+dAT28YdizbfU5nt0LHx0o0paQnhn</t>
  </si>
  <si>
    <t>T18AA33A0748609F73C046AD7569EB6530036BBA120F4F0F9D6A689AF5174F9CFB40EB68</t>
  </si>
  <si>
    <t>ELF 32-bit LSB executable, Renesas SH, version 1 (SYSV), statically linked, not stripped</t>
  </si>
  <si>
    <t xml:space="preserve">ELF Executable and Linkable format (Linux) (50.1%) </t>
  </si>
  <si>
    <t>DETECTLT EASY</t>
  </si>
  <si>
    <t>ELF32   Operation system: Unix [EXEC SH-32]   Compiler: gcc ((GNU) 4.1.2) [EXEC SH-32]</t>
  </si>
  <si>
    <t>102.99 KB (105461 bytes)</t>
  </si>
  <si>
    <t xml:space="preserve">
2's complement, little endian</t>
  </si>
  <si>
    <t xml:space="preserve">
UNIX - System V</t>
  </si>
  <si>
    <t>DESCONOCIDA</t>
  </si>
  <si>
    <t>0X1</t>
  </si>
  <si>
    <t>16</t>
  </si>
  <si>
    <t>MIPS 32-bit ELF</t>
  </si>
  <si>
    <t>https://www.cve.org/CVERecord?id=CVE-2017-17215</t>
  </si>
  <si>
    <t>CVE-2017-17215</t>
  </si>
  <si>
    <t>Huawei HG532 with some customized versions has a remote code execution vulnerability. An authenticated attacker could send malicious packets to port 37215 to launch attacks. Successful exploit could lead to the remote execution of arbitrary code</t>
  </si>
  <si>
    <t>1536:/P9GBuNfWh/hiaYjeFynZ/JcBgtUMtxHvX:H9GBuNfWZi3dx</t>
  </si>
  <si>
    <t xml:space="preserve">
T1E36393097FA10FF7ECAFDC374AE91B4524CD641A21987B797934E918F24A21B09E3874</t>
  </si>
  <si>
    <t>ELF 32-bit LSB executable, MIPS, MIPS-I version 1 (SYSV), statically linked, stripped</t>
  </si>
  <si>
    <t xml:space="preserve">
ELF Executable and Linkable format (Linux) (50.1%) </t>
  </si>
  <si>
    <t>ELF32   Operation system: Unix [EXEC MIPS-32]</t>
  </si>
  <si>
    <t xml:space="preserve">
67.23 KB (68848 bytes)</t>
  </si>
  <si>
    <t>67.23 KB (68848 bytes)</t>
  </si>
  <si>
    <t>2's complement, little endian</t>
  </si>
  <si>
    <t xml:space="preserve">
EXEC (Executable file)</t>
  </si>
  <si>
    <t>MIPS R3000</t>
  </si>
  <si>
    <t>14</t>
  </si>
  <si>
    <t>f1e1bc45fbc9fed7236089ce4f8a72b06445c71c</t>
  </si>
  <si>
    <t>7cf32e8eb55a03dcad1a936e3dc0684c</t>
  </si>
  <si>
    <t>1536:FZxntHg7f6jgZLQ3X2uKJtrL2yBCZt5lI3x2q:FZxntg75QbgdvUblI3xz</t>
  </si>
  <si>
    <t xml:space="preserve">T18F531855BC928A12C9D423B6FA2E418D372663E8D1DF3207DD216F1137CA82F0EBB556
</t>
  </si>
  <si>
    <t xml:space="preserve">
ELF 32-bit LSB executable, ARM, version 1 (ARM), statically linked, stripped</t>
  </si>
  <si>
    <t>ELF 32-bit LSB executable, ARM, version 1 (ARM), statically linked, stripped</t>
  </si>
  <si>
    <t>ELF32   Operation system: Unix [EXEC ARM-32]</t>
  </si>
  <si>
    <t>59.36 KB (60784 bytes)</t>
  </si>
  <si>
    <t xml:space="preserve">
ARM - ABI</t>
  </si>
  <si>
    <t>ARM - ABI</t>
  </si>
  <si>
    <t>ARM</t>
  </si>
  <si>
    <t>4</t>
  </si>
  <si>
    <t>5</t>
  </si>
  <si>
    <t>6</t>
  </si>
  <si>
    <t>CVE-2024-6047</t>
  </si>
  <si>
    <t>https://www.cve.org/CVERecord?id=CVE-2024-6047</t>
  </si>
  <si>
    <t>Certain EOL GeoVision devices fail to properly filter user input for the specific functionality. Unauthenticated remote attackers can exploit this vulnerability to inject and execute arbitrary system commands on the device.</t>
  </si>
  <si>
    <t>f29970681e5133a7f7af4c7b20f9e675287d9fe5</t>
  </si>
  <si>
    <t xml:space="preserve">	dfa0c8b46ca3aafaf9d5e24525973e4c</t>
  </si>
  <si>
    <t>1536:49oKjKYwflPA6UUrmx9IT0QOCvGRWNzMdOy0B89t:WOPAOrJ0QOIABdOBwt</t>
  </si>
  <si>
    <t xml:space="preserve">
T192434AD5B401DE7CF98BEBBB80220A0AF932721194930F27666BFD876C720965D27D47</t>
  </si>
  <si>
    <t xml:space="preserve">
58.10 KB (59496 bytes)</t>
  </si>
  <si>
    <t xml:space="preserve">
MC68000</t>
  </si>
  <si>
    <t>071812d6355498f14b65a36794febb18</t>
  </si>
  <si>
    <t>f3033118b14a738c5b9a2631c1762b6f0bf525a2</t>
  </si>
  <si>
    <t>1536:7I2uaUvCJpnsyiiBVIy853ZxHE/Hsx8e7pupp7B3Riu:sf6JpnsTzyM0M8e7pupB5Rt</t>
  </si>
  <si>
    <t>T1C973940E3E758FBCFBAD863447F74E209658239626E1C584D15CEA011EB034E746FBA9</t>
  </si>
  <si>
    <t xml:space="preserve">
ELF 32-bit MSB executable, MIPS, MIPS-I version 1 (SYSV), statically linked, stripped</t>
  </si>
  <si>
    <t>-</t>
  </si>
  <si>
    <t xml:space="preserve">
75.71 KB (77524 bytes)</t>
  </si>
  <si>
    <t>1(current)</t>
  </si>
  <si>
    <t xml:space="preserve">	ec17d640c0ad057d10544bc3eb1657ca</t>
  </si>
  <si>
    <t xml:space="preserve">	1484ad33da4b37bba4626002193ee38b52af9da1</t>
  </si>
  <si>
    <t>49152:5TwLp+W5AmUmUFlW/IpZADs0Han2P0E2A3PpeXm6:5TwLp+W5LUmUFlgIpZADsEanFAxeXm6</t>
  </si>
  <si>
    <t xml:space="preserve">
T186957D00771D0AD7F39B1EF0273F1BE5C7AECAD421FAE542291EA98A5375D31018A5CA</t>
  </si>
  <si>
    <t xml:space="preserve">
ELF 32-bit MSB executable, PowerPC or cisco 4500, version 1 (SYSV), statically linked, stripped</t>
  </si>
  <si>
    <t xml:space="preserve">
ELF32   Operation system: Unix [EXEC PPC-32]</t>
  </si>
  <si>
    <t xml:space="preserve">
1.91 MB (2006524 bytes)</t>
  </si>
  <si>
    <t xml:space="preserve">
PowerPC</t>
  </si>
  <si>
    <t>12</t>
  </si>
  <si>
    <t>30362aa28757a76a0e5fd90b81915001</t>
  </si>
  <si>
    <t>67ecaf07c1cab80c3d07d9e67ba1ca287750fdb7</t>
  </si>
  <si>
    <t xml:space="preserve">
1536:d7XDXp9aJTe0IPyKm1DVu2gY7XnyHOC4:JXDXLaJ/4yKWDVuADyHN4</t>
  </si>
  <si>
    <t xml:space="preserve">
T1B0533A07798480FDC15CC17457BBB53AD53234BE023AB3DA67C4BF276D8AE611E2A485</t>
  </si>
  <si>
    <t xml:space="preserve">
ELF 64-bit LSB executable, x86-64, version 1 (SYSV), statically linked, stripped</t>
  </si>
  <si>
    <t xml:space="preserve">
ELF64   Operation system: Unix [EXEC AMD64-64]</t>
  </si>
  <si>
    <t>61.00 KB (62464 bytes)</t>
  </si>
  <si>
    <t xml:space="preserve">
ELF64</t>
  </si>
  <si>
    <t xml:space="preserve">
Advanced Micro Devices X86-64</t>
  </si>
  <si>
    <t>CVE-2016-10372</t>
  </si>
  <si>
    <t>https://www.cve.org/CVERecord?id=CVE-2016-10372</t>
  </si>
  <si>
    <t>The Eir D1000 modem does not properly restrict the TR-064 protocol, which allows remote attackers to execute arbitrary commands via TCP port 7547, as demonstrated by opening WAN access to TCP port 80, retrieving the login password (which defaults to the Wi-Fi password), and using the NewNTPServer feature.</t>
  </si>
  <si>
    <t>7bf546c22bbf251deaee2bdf3f6d3a89</t>
  </si>
  <si>
    <t>fe23e419767a5c942161d427ea700005322c8cd5</t>
  </si>
  <si>
    <t>1536:rzIes5R5macWHN9Y47P/qspwVnCS0fVfUl88J:tKcmN9lKxWfq/</t>
  </si>
  <si>
    <t>T1D9436DD6B8019E7CF94BEBBA80214A09F935722154A30F27B267FDD36D721964C2BD07</t>
  </si>
  <si>
    <t xml:space="preserve">
58.36 KB (59756 bytes)</t>
  </si>
  <si>
    <t>CVE-2024-3721</t>
  </si>
  <si>
    <t>https://www.cve.org/CVERecord?id=CVE-2024-3721</t>
  </si>
  <si>
    <t>A vulnerability was found in TBK DVR-4104 and DVR-4216 up to 20240412 and classified as critical. This issue affects some unknown processing of the file /device.rsp?opt=sys&amp;cmd=___S_O_S_T_R_E_A_MAX___. The manipulation of the argument mdb/mdc leads to os command injection. The attack may be initiated remotely. The exploit has been disclosed to the public and may be used. The identifier VDB-260573 was assigned to this vulnerability.</t>
  </si>
  <si>
    <t xml:space="preserve">	474c2d558f8187fa39821e6f174d7503</t>
  </si>
  <si>
    <t xml:space="preserve">		a8ebadef1c72563ba4719f5839a33fefc7e0c344</t>
  </si>
  <si>
    <t xml:space="preserve">
1536:G4Z8LUay6+vl/R1KIdysUmR9EiYHXwHd11VqkwxjDET/:B6ry6+vdGIdysUKr11VzwpDI/</t>
  </si>
  <si>
    <t xml:space="preserve">
T1C773840E2E619FBCFBAD863587B35F209248339226E1D545D19CFA011E7034E746FBA9</t>
  </si>
  <si>
    <t xml:space="preserve">
ELF </t>
  </si>
  <si>
    <t>77.93 KB (79804 bytes)</t>
  </si>
  <si>
    <t xml:space="preserve">
77.93 KB (79804 bytes)</t>
  </si>
  <si>
    <t xml:space="preserve">
1 (current)</t>
  </si>
  <si>
    <t>CVE-2015-2051</t>
  </si>
  <si>
    <t>https://www.cve.org/CVERecord?id=CVE-2015-2051</t>
  </si>
  <si>
    <t>The D-Link DIR-645 Wired/Wireless Router Rev. Ax with firmware 1.04b12 and earlier allows remote attackers to execute arbitrary commands via a GetDeviceSettings action to the HNAP interface.</t>
  </si>
  <si>
    <t xml:space="preserve">	937f1b34031866befcd88419466228a0</t>
  </si>
  <si>
    <t xml:space="preserve">	86656ee1342e91d44f4b60bfbbebbc4089acdf86</t>
  </si>
  <si>
    <t>b7b6e3d995da1f5cb706b2f27bb380628863812bb111f9198fb51dcda404153c</t>
  </si>
  <si>
    <t>https://virusshare.com/apiv2/download?apikey=AyBZnvviVMkKJ8vOU4LJl7GmG5A0jQ75&amp;hash=b7b6e3d995da1f5cb706b2f27bb380628863812bb111f9198fb51dcda404153c</t>
  </si>
  <si>
    <t>https://www.virustotal.com/gui/file/b7b6e3d995da1f5cb706b2f27bb380628863812bb111f9198fb51dcda404153c/summary</t>
  </si>
  <si>
    <t>1536:aAMuiiASFqs80XQA97JAWcgs1oYczK9GfI4VwRIY/92/D:miAyvgAhJAfJ1vczK0VqP/96D</t>
  </si>
  <si>
    <t xml:space="preserve">
T12033F885B8918E1AC9C423F7BA6F529E331163F9D1DF7313CC148F54768AA0E0DA7A52</t>
  </si>
  <si>
    <t xml:space="preserve">
ELF 32-bit LSB executable, ARM, version 1 (SYSV), dynamically linked (uses shared libs), stripp</t>
  </si>
  <si>
    <t xml:space="preserve">
ELF Executable and Linkable format (Linux) (50.1%)</t>
  </si>
  <si>
    <t xml:space="preserve">
49.84 KB (51032 bytes)</t>
  </si>
  <si>
    <t>19</t>
  </si>
  <si>
    <t xml:space="preserve">	66a2e1d3caeef7b33561c84a32c6b877</t>
  </si>
  <si>
    <t xml:space="preserve">	51925ae07e5489b8d3cf12179ce2ffed1232205b</t>
  </si>
  <si>
    <t>https://virusshare.com/apiv2/download?apikey=AyBZnvviVMkKJ8vOU4LJl7GmG5A0jQ75&amp;hash=55b6ea1f896fc3b8f47e6c75988ea2e8629991682d09fa590b110046e0080eda</t>
  </si>
  <si>
    <t>https://www.virustotal.com/gui/file/55b6ea1f896fc3b8f47e6c75988ea2e8629991682d09fa590b110046e0080eda/summary</t>
  </si>
  <si>
    <t>1536:VOPGN0hgMkqwBJffmAKxVBeicZlhnknLkXFVWKm685:Q4Iwnf8ulhkmWT1</t>
  </si>
  <si>
    <t xml:space="preserve">
T132535BD5F400EE7CF94BEA7A81125A1EF521B22185930F27B3ABFD93AD730569C16C06</t>
  </si>
  <si>
    <t xml:space="preserve">
ELF</t>
  </si>
  <si>
    <t>60.68 KB (62136 bytes)</t>
  </si>
  <si>
    <t>55b6ea1f896fc3b8f47e6c75988ea2e8629991682d09fa590b110046e0080eda</t>
  </si>
  <si>
    <t xml:space="preserve">	984f22e4d7d47e3c4251a9e942a50a88</t>
  </si>
  <si>
    <t>07a76fbb422eabf459a3b77a0471f6a32c5f977e</t>
  </si>
  <si>
    <t>7c2e8c214900221210ca3de3ceaaa7fbc2a442412a6dc05656890a3503b6b1c5</t>
  </si>
  <si>
    <t>https://virusshare.com/apiv2/download?apikey=AyBZnvviVMkKJ8vOU4LJl7GmG5A0jQ75&amp;hash=7c2e8c214900221210ca3de3ceaaa7fbc2a442412a6dc05656890a3503b6b1c5</t>
  </si>
  <si>
    <t>https://www.virustotal.com/gui/file/7c2e8c214900221210ca3de3ceaaa7fbc2a442412a6dc05656890a3503b6b1c5/summary</t>
  </si>
  <si>
    <t>1536:Wus6lwjmqU6gRh2Ln/yFpmWgUESckP98:WublwCqU6gCT/yFpmWgtScEe</t>
  </si>
  <si>
    <t>T18A436CC1A563D9F8D81519383077EF7247B7EA3F2028EAC3E7985932AD42602D5033AD</t>
  </si>
  <si>
    <t>ELF 32-bit LSB executable, Intel 80386, version 1 (SYSV), statically linked, stripped</t>
  </si>
  <si>
    <t>56.76 KB (58126 bytes)</t>
  </si>
  <si>
    <t>Intel 80386</t>
  </si>
  <si>
    <t>e4f1ae39bb95624b1bcea85217070b18</t>
  </si>
  <si>
    <t>92a262f0c3036f060bb5a96d8fd38f7168bd0845</t>
  </si>
  <si>
    <t>7c2d618cb0d195c1ea4aa789892e29dff4d3170f1ad38826f495423ae3b47c7c</t>
  </si>
  <si>
    <t>https://virusshare.com/apiv2/download?apikey=AyBZnvviVMkKJ8vOU4LJl7GmG5A0jQ75&amp;hash=7c2d618cb0d195c1ea4aa789892e29dff4d3170f1ad38826f495423ae3b47c7c</t>
  </si>
  <si>
    <t>https://www.virustotal.com/gui/file/7c2d618cb0d195c1ea4aa789892e29dff4d3170f1ad38826f495423ae3b47c7c/summary</t>
  </si>
  <si>
    <t xml:space="preserve">
768:ZyoFZ2a7okiFHq91gBKfE41z/B6Q8tOGlQVLOJogdWRsom1OO+h7gy77+:ZyUokiFHS1gBK841z/B6QCJlQVin8hY</t>
  </si>
  <si>
    <t>T17A535A21B9792A17C0E4A57B22F38324B2F9270E35A4CB2DBD220F9FFF14550655B6B1</t>
  </si>
  <si>
    <t xml:space="preserve">
ELF 32-bit MSB executable, SPARC, version 1 (SYSV), statically linked, stripped</t>
  </si>
  <si>
    <t>ELF32   Operation system: Unix [EXEC SPARC-32]</t>
  </si>
  <si>
    <t xml:space="preserve">
64.83 KB (66388 bytes)</t>
  </si>
  <si>
    <t xml:space="preserve">
Sparc</t>
  </si>
  <si>
    <t>CVE-2024-45164</t>
  </si>
  <si>
    <t>https://www.cve.org/CVERecord?id=CVE-2024-45164</t>
  </si>
  <si>
    <t>CVE-2024-45165</t>
  </si>
  <si>
    <t>https://www.cve.org/CVERecord?id=CVE-2024-45165</t>
  </si>
  <si>
    <t>b36a564014b7d895e23e78c6c9903463</t>
  </si>
  <si>
    <t>e79d57941dd43983cc9618b577822dec2ab31de4</t>
  </si>
  <si>
    <t xml:space="preserve">	1411a81285e05d0a6b7540cb1ba1438825efbb3bacc4c4e7a2d54c8564948b8e</t>
  </si>
  <si>
    <t>https://virusshare.com/apiv2/download?apikey=AyBZnvviVMkKJ8vOU4LJl7GmG5A0jQ75&amp;hash=	1411a81285e05d0a6b7540cb1ba1438825efbb3bacc4c4e7a2d54c8564948b8e</t>
  </si>
  <si>
    <t>https://www.virustotal.com/gui/file/1411a81285e05d0a6b7540cb1ba1438825efbb3bacc4c4e7a2d54c8564948b8e/summary</t>
  </si>
  <si>
    <t>1536:T4psVUay6+vl/B1aIuy8Umx9ECYHXw2N7Ud1orqjc0D7:0aZy6+vdmIuy8UKu7Uduroco7</t>
  </si>
  <si>
    <t>T18F73830E2E619FBCFBAD863587B34F209248339626E1D545D19CFA011E7034E746FBA9</t>
  </si>
  <si>
    <t xml:space="preserve">
ELF32   Operation system: Unix [EXEC MIPS-32]</t>
  </si>
  <si>
    <t>6e870b54289c410a1030db425a57e070</t>
  </si>
  <si>
    <t xml:space="preserve">	266197497bc6b29cb4696abcdbb5c223adefedaa</t>
  </si>
  <si>
    <t xml:space="preserve">	1416c77d5dec82bdeeb6db8a70d4f059c4aa39f358f501dea38389facf92721c</t>
  </si>
  <si>
    <t>https://virusshare.com/apiv2/download?apikey=AyBZnvviVMkKJ8vOU4LJl7GmG5A0jQ75&amp;hash=	1416c77d5dec82bdeeb6db8a70d4f059c4aa39f358f501dea38389facf92721c</t>
  </si>
  <si>
    <t>https://www.virustotal.com/gui/file/1416c77d5dec82bdeeb6db8a70d4f059c4aa39f358f501dea38389facf92721c/summary</t>
  </si>
  <si>
    <t xml:space="preserve">
1536:6tCdFUWSOsG+05P/RL/7bjCk5nOqADVp5EE8S:zsj05ljLFCpec</t>
  </si>
  <si>
    <t xml:space="preserve">
T125435ED6B400DE7CF94BEB7A81220A09FA36721154A30F27A667FDD3AC721564C2BD47</t>
  </si>
  <si>
    <t xml:space="preserve">
58.31 KB (59712 bytes)</t>
  </si>
  <si>
    <t>CVE-2018-10561</t>
  </si>
  <si>
    <t>https://www.cve.org/CVERecord?id=CVE-2014-8361</t>
  </si>
  <si>
    <t>CVE-2014-8361</t>
  </si>
  <si>
    <t>The miniigd SOAP service in Realtek SDK allows remote attackers to execute arbitrary code via a crafted NewInternalClient request, as exploited in the wild through 2023.</t>
  </si>
  <si>
    <t>https://www.cve.org/CVERecord?id=CVE-2018-10561</t>
  </si>
  <si>
    <t>An issue was discovered on Dasan GPON home routers. It is possible to bypass authentication simply by appending "?images" to any URL of the device that requires authentication, as demonstrated by the /menu.html?images/ or /GponForm/diag_FORM?images/ URI. One can then manage the device.</t>
  </si>
  <si>
    <t>de558f45734f5440c778cd384a445166</t>
  </si>
  <si>
    <t>d36bf1ccb0f0be6a09afcc91f5efc5049d48eb06</t>
  </si>
  <si>
    <t>e426c9118e70d85616fc32d4c76ffccbb4f6ab3f16583ffc09e6a65ac0dd1fca</t>
  </si>
  <si>
    <t>https://virusshare.com/apiv2/download?apikey=AyBZnvviVMkKJ8vOU4LJl7GmG5A0jQ75&amp;hash=e426c9118e70d85616fc32d4c76ffccbb4f6ab3f16583ffc09e6a65ac0dd1fca</t>
  </si>
  <si>
    <t>https://www.virustotal.com/gui/file/e426c9118e70d85616fc32d4c76ffccbb4f6ab3f16583ffc09e6a65ac0dd1fca</t>
  </si>
  <si>
    <t xml:space="preserve">
1536:TtCdFUWySs6CANPo75G4jsCktnSygjVQstg8R:as7ANmGvLJuQq7</t>
  </si>
  <si>
    <t xml:space="preserve">
T1EF435ED6B800DE7CF94BEB7A80260A09FA35721154A30F27A267FD93AD721564C6FD07</t>
  </si>
  <si>
    <t xml:space="preserve">
58.32 KB (59716 bytes)</t>
  </si>
  <si>
    <t>1a0a3f88811f9f7c012f359ad133f06d</t>
  </si>
  <si>
    <t xml:space="preserve">	29d145cccffafe9607607b4031f5cc7f5724ccf7</t>
  </si>
  <si>
    <t xml:space="preserve">	e42ee4d938aeb5a44ea6f16267d27ca10a66a68220f4433d37c5456d5e2b43fb</t>
  </si>
  <si>
    <t>https://virusshare.com/apiv2/download?apikey=AyBZnvviVMkKJ8vOU4LJl7GmG5A0jQ75&amp;hash=	e42ee4d938aeb5a44ea6f16267d27ca10a66a68220f4433d37c5456d5e2b43fb</t>
  </si>
  <si>
    <t>https://www.virustotal.com/gui/file/e42ee4d938aeb5a44ea6f16267d27ca10a66a68220f4433d37c5456d5e2b43fb/summary</t>
  </si>
  <si>
    <t xml:space="preserve">
1536:hQXM23x+JdY6j0pTqBSjdmVrL2yBCtt5KwaxlR:h6f+Jdy3QlvYbKwaxD</t>
  </si>
  <si>
    <t xml:space="preserve">
T149531855BCE28A12C6D462B6FA2E418D332663E8D1DF3207DD216F1137CA82F0E7B556</t>
  </si>
  <si>
    <t xml:space="preserve">
ELF32   Operation system: Unix [EXEC ARM-32]</t>
  </si>
  <si>
    <t>59.37 KB (60792 bytes)</t>
  </si>
  <si>
    <t>2</t>
  </si>
  <si>
    <t xml:space="preserve">CVE-2025-24016 </t>
  </si>
  <si>
    <t>https://www.cve.org/CVERecord?id=CVE-2025-24016</t>
  </si>
  <si>
    <t>Wazuh is a free and open source platform used for threat prevention, detection, and response. Starting in version 4.4.0 and prior to version 4.9.1, an unsafe deserialization vulnerability allows for remote code execution on Wazuh servers. DistributedAPI parameters are a serialized as JSON and deserialized using `as_wazuh_object` (in `framework/wazuh/core/cluster/common.py`). If an attacker manages to inject an unsanitized dictionary in DAPI request/response, they can forge an unhandled exception (`__unhandled_exc__`) to evaluate arbitrary python code. The vulnerability can be triggered by anybody with API access (compromised dashboard or Wazuh servers in the cluster) or, in certain configurations, even by a compromised agent. Version 4.9.1 contains a fix.</t>
  </si>
  <si>
    <t xml:space="preserve">	3323ca4261989fb83aa99b0aecab2938</t>
  </si>
  <si>
    <t xml:space="preserve">	266d3ea9363ea6ce417685c7277ec0810ae25918</t>
  </si>
  <si>
    <t>e4231b487d79b7bd0834aa6b5af00c3f1b1bf2683b1c7fb12c374c49c51a3894</t>
  </si>
  <si>
    <t>https://virusshare.com/apiv2/download?apikey=AyBZnvviVMkKJ8vOU4LJl7GmG5A0jQ75&amp;hash=e4231b487d79b7bd0834aa6b5af00c3f1b1bf2683b1c7fb12c374c49c51a3894</t>
  </si>
  <si>
    <t>https://www.virustotal.com/gui/file/e4231b487d79b7bd0834aa6b5af00c3f1b1bf2683b1c7fb12c374c49c51a3894/summary</t>
  </si>
  <si>
    <t>1536:/P9GBuNfWh/hiaYjeFyiZkhsBgtUMtxHvX:H9GBuNfWZiIOx</t>
  </si>
  <si>
    <t xml:space="preserve">
T1266393097FA10FF7ECAFDC374AE91B4524CD641A21987B797934E918F20A25B09E3874</t>
  </si>
  <si>
    <t xml:space="preserve">
ELF 32-bit LSB executable, MIPS, MIPS-I version 1 (SYSV), statically linked, stripped</t>
  </si>
  <si>
    <t xml:space="preserve">CVE-2017-17215 </t>
  </si>
  <si>
    <t>Huawei HG532 with some customized versions has a remote code execution vulnerability. An authenticated attacker could send malicious packets to port 37215 to launch attacks. Successful exploit could lead to the remote execution of arbitrary code.</t>
  </si>
  <si>
    <t>84ca6615be6c87287696c36d50bf1327</t>
  </si>
  <si>
    <t>5ec358c469d6f77934391d57169922927949c356</t>
  </si>
  <si>
    <t>72747ba14f902360eb7b4733617ad2c09ba11d6f9aab5787f2ee598e87ef7971</t>
  </si>
  <si>
    <t>https://virusshare.com/apiv2/download?apikey=AyBZnvviVMkKJ8vOU4LJl7GmG5A0jQ75&amp;hash=72747ba14f902360eb7b4733617ad2c09ba11d6f9aab5787f2ee598e87ef7971</t>
  </si>
  <si>
    <t>https://www.virustotal.com/gui/file/72747ba14f902360eb7b4733617ad2c09ba11d6f9aab5787f2ee598e87ef7971/summary</t>
  </si>
  <si>
    <t xml:space="preserve">
1536:JjO59awCLEgC4IlAtAER3tE+KOuJUtCcV:FO59awCLxCCt9uI</t>
  </si>
  <si>
    <t xml:space="preserve">
T104739309BF650FF7E8ABDC374AE91745288D641A21A93B75BD34D818F24B24F19E3870</t>
  </si>
  <si>
    <t>77.96 KB (79828 bytes)</t>
  </si>
  <si>
    <t>MIPS R3001</t>
  </si>
  <si>
    <t>Bashlite</t>
  </si>
  <si>
    <t>Gafgyt</t>
  </si>
  <si>
    <t>39f88745dd8a344f3889b98d5b28dd15</t>
  </si>
  <si>
    <t>b31e61006fe6d551d95e54168c5184ff2923dd70</t>
  </si>
  <si>
    <t xml:space="preserve"> f852c66455c6052ebe591bc72749b0271f94cf79ea359c88c296d467ff4c89fd</t>
  </si>
  <si>
    <t>https://bazaar.abuse.ch/download/f852c66455c6052ebe591bc72749b0271f94cf79ea359c88c296d467ff4c89fd/</t>
  </si>
  <si>
    <t>https://www.virustotal.com/gui/file/f852c66455c6052ebe591bc72749b0271f94cf79ea359c88c296d467ff4c89fd/summary</t>
  </si>
  <si>
    <t>3072:a1+mCHjU3+TVWPZDk2rlpX/5Ut5cUHQLNfFf9BT9HkUs:ap3UgDLNfFf9B9HkV</t>
  </si>
  <si>
    <t xml:space="preserve">
T1FAC3D658F850D77AC6D0127AF7AA029D33734F58FBDA330485287B343BFA6255A3A251</t>
  </si>
  <si>
    <t>elf</t>
  </si>
  <si>
    <t>ELF 32-bit LSB pie executable, ARM, EABI5 version 1 (SYSV), static-pie linked, with debug_info, not stripped</t>
  </si>
  <si>
    <t xml:space="preserve">
ELF32   Operation system: Unix [DYN ARM-32] </t>
  </si>
  <si>
    <t>118.88 KB (121736 bytes)</t>
  </si>
  <si>
    <t xml:space="preserve">
DYN (Shared object file)</t>
  </si>
  <si>
    <t>32</t>
  </si>
  <si>
    <t xml:space="preserve">	540d3d325ad4c0bb51f41c2c592eb770</t>
  </si>
  <si>
    <t>a297045624bbf202b6185b432f028773e5aac08d</t>
  </si>
  <si>
    <t>f63a286fb1caf85de08b078e06b982392cb06577fbfa597cb8563f8e59cca31d</t>
  </si>
  <si>
    <t>https://virusshare.com/apiv2/download?apikey=AyBZnvviVMkKJ8vOU4LJl7GmG5A0jQ75&amp;hash=f63a286fb1caf85de08b078e06b982392cb06577fbfa597cb8563f8e59cca31d</t>
  </si>
  <si>
    <t>https://www.virustotal.com/gui/file/f63a286fb1caf85de08b078e06b982392cb06577fbfa597cb8563f8e59cca31d/detection</t>
  </si>
  <si>
    <t xml:space="preserve">
1536:rhUB/XYuBXJWiOV7NTEO07Kq6FUIhU7D47otwHUIe:1afYOfwNTZ0ObBUqotl</t>
  </si>
  <si>
    <t>T16383099BB61D0BABC5975BB12CB737F19B69ED6002A211C4A10EFF9007B29702532F75</t>
  </si>
  <si>
    <t>ELF 32-bit MSB executable, PowerPC or cisco 4500, version 1 (SYSV), statically linked, not stripped</t>
  </si>
  <si>
    <t xml:space="preserve">
ELF32   Operation system: Unix [EXEC PPC-32] </t>
  </si>
  <si>
    <t>86.51 KB (88583 bytes)</t>
  </si>
  <si>
    <t>PowerPC</t>
  </si>
  <si>
    <t>17</t>
  </si>
  <si>
    <t>CVE-2024-41473</t>
  </si>
  <si>
    <t>https://www.cve.org/CVERecord?id=CVE-2024-41473</t>
  </si>
  <si>
    <t>Tenda FH1201 v1.2.0.14 was discovered to contain a command injection vulnerability via the mac parameter at ip/goform/WriteFacMac</t>
  </si>
  <si>
    <t xml:space="preserve">	8ccf6bf93fe0ce07f63004948d4332b0</t>
  </si>
  <si>
    <t xml:space="preserve">	e129acdbaa371de868b9a083aff2ea5d3cca1a94</t>
  </si>
  <si>
    <t>522b7c24977ad6fbaa208da16fb399201569108ddc5ba346a492f5170c5296d7</t>
  </si>
  <si>
    <t>https://virusshare.com/apiv2/download?apikey=AyBZnvviVMkKJ8vOU4LJl7GmG5A0jQ75&amp;hash=522b7c24977ad6fbaa208da16fb399201569108ddc5ba346a492f5170c5296d7</t>
  </si>
  <si>
    <t>https://www.virustotal.com/gui/file/522b7c24977ad6fbaa208da16fb399201569108ddc5ba346a492f5170c5296d7</t>
  </si>
  <si>
    <t xml:space="preserve">
3072:WQpSZBOF9zA6s1ujYnDehNdhQtLDHi9FRSRYV/N4qQlbCRA3da:WAjKDmNdaDH6/N4qQlbCRA3da</t>
  </si>
  <si>
    <t xml:space="preserve">
T10AA3FA02FD004B67C6D227B7B75B528D7732576A97DB3351EA2D1DB02BC27881A3A6C0</t>
  </si>
  <si>
    <t xml:space="preserve">
ELF 32-bit LSB executable, ARM, version 1 (ARM), statically linked, with debug_info, not stripped</t>
  </si>
  <si>
    <t xml:space="preserve">
ELF32   Operation system: Unix [EXEC ARM-32] </t>
  </si>
  <si>
    <t>104.02 KB (106517 bytes)</t>
  </si>
  <si>
    <t>20</t>
  </si>
  <si>
    <t xml:space="preserve">CVE-2024-12987 </t>
  </si>
  <si>
    <t>https://www.cve.org/CVERecord?id=CVE-2024-12987</t>
  </si>
  <si>
    <t xml:space="preserve">vulnerability, which was classified as critical, was found in DrayTek Vigor2960 and Vigor300B 1.5.1.4. Affected is an unknown function of the file /cgi-bin/mainfunction.cgi/apmcfgupload of the component Web Management Interface. The manipulation of the argument session leads to os command injection. It is possible to launch the attack remotely. The exploit has been disclosed to the public and may be used. Upgrading to version 1.5.1.5 is able to address this issue. It is recommended to upgrade the affected component.
</t>
  </si>
  <si>
    <t>https://www.virustotal.com/gui/file/94b5087311b3e58a0e4f569996096e5d6d67ec1fabed0581ab54c0e714a675a7/summary</t>
  </si>
  <si>
    <t xml:space="preserve">
T1D9436DD6B8019E7CF94BEBBA80214A09F935722154A30F27B267FDD36D721964C2BD07</t>
  </si>
  <si>
    <t>CVE-2024-9916</t>
  </si>
  <si>
    <t>https://www.cve.org/CVERecord?id=CVE-2024-9916</t>
  </si>
  <si>
    <t>A vulnerability, which was classified as critical, has been found in HuangDou UTCMS V9. Affected by this issue is some unknown functionality of the file app/modules/ut-cac/admin/cli.php. The manipulation of the argument o leads to os command injection. The attack may be launched remotely. The exploit has been disclosed to the public and may be used. The vendor was contacted early about this disclosure but did not respond in any way.</t>
  </si>
  <si>
    <t xml:space="preserve">	53b89431dc9c13216efef51b5c61a362</t>
  </si>
  <si>
    <t>65364010c4a5ceb3346820ffdd7f42d46064c698</t>
  </si>
  <si>
    <t xml:space="preserve">	94bc293f4b66658baff1d97b25aa6b4152565669b501716a80be4c3941ed2e9a</t>
  </si>
  <si>
    <t>https://virusshare.com/apiv2/download?apikey=AyBZnvviVMkKJ8vOU4LJl7GmG5A0jQ75&amp;hash=	94bc293f4b66658baff1d97b25aa6b4152565669b501716a80be4c3941ed2e9a</t>
  </si>
  <si>
    <t>8000a5645dfa8a9bf600b2fb5206b5ed8ad8585f</t>
  </si>
  <si>
    <t>c857316eb58f4fd1727e05349045e8cb</t>
  </si>
  <si>
    <t xml:space="preserve">
1536:OVNK7KJAkVczSnWkpo4PxbB2rKwvHxSoXSeXDGolR:FGD7AvHxSoCuDGQ</t>
  </si>
  <si>
    <t xml:space="preserve">
T1967351793A51BBFEE5E9873546F25FB0C385219227A2D785E26CDA184FB128C1C8F350</t>
  </si>
  <si>
    <t xml:space="preserve">
ELF 32-bit MSB executable, MIPS, MIPS-I version 1 (SYSV), statically linked, not stripped</t>
  </si>
  <si>
    <t xml:space="preserve">
ELF Executable and Linkable format (generic) (100%)</t>
  </si>
  <si>
    <t xml:space="preserve">
ELF32   Operation system: Unix [EXEC MIPS-32] </t>
  </si>
  <si>
    <t xml:space="preserve">
76.20 KB (78032 bytes)</t>
  </si>
  <si>
    <t>CVE-2023-1389</t>
  </si>
  <si>
    <t>https://www.cve.org/CVERecord?id=CVE-2023-1389</t>
  </si>
  <si>
    <t>TP-Link Archer AX21 (AX1800) firmware versions before 1.1.4 Build 20230219 contained a command injection vulnerability in the country form of the /cgi-bin/luci;stok=/locale endpoint on the web management interface. Specifically, the country parameter of the write operation was not sanitized before being used in a call to popen(), allowing an unauthenticated attacker to inject commands, which would be run as root, with a simple POST request.</t>
  </si>
  <si>
    <t>https://www.virustotal.com/gui/file/b7bf02d25f8121fa573a00256672d5a15b70bd86533273042a8c8a026b0e09ae/summary</t>
  </si>
  <si>
    <t>T1967351793A51BBFEE5E9873546F25FB0C385219227A2D785E26CDA184FB128C1C8F350T184434DD5B400DE7CF98BEB7A80124A0AFA35726154A30F27A267FD93AC720565C2FD47</t>
  </si>
  <si>
    <t xml:space="preserve">	b51ceac72fecafcac2790c65c791bbb0</t>
  </si>
  <si>
    <t>3c06670cbff73ca4800e6e65ac0d3b73cd7e2261</t>
  </si>
  <si>
    <t>b280fd654bb93bbaa8fdf518a54f3a282461873a15e94ebeb6e5e1fa50248cf7</t>
  </si>
  <si>
    <t>https://virusshare.com/apiv2/download?apikey=AyBZnvviVMkKJ8vOU4LJl7GmG5A0jQ75&amp;hash=b280fd654bb93bbaa8fdf518a54f3a282461873a15e94ebeb6e5e1fa50248cf7</t>
  </si>
  <si>
    <t>https://www.virustotal.com/gui/file/b280fd654bb93bbaa8fdf518a54f3a282461873a15e94ebeb6e5e1fa50248cf7</t>
  </si>
  <si>
    <t>3072:eE9Zps927abyQWodSetJ8add9QzhsY7liKr1HwmDSfEPbZ:eIZpsFAetJ8addQV7l7mmDSfEPbZ</t>
  </si>
  <si>
    <t xml:space="preserve">
T14EE34A1B93190393C44B88B12DB733E187EADEB215E621C2E82EBF805B739751166FD1</t>
  </si>
  <si>
    <t xml:space="preserve">
ELF 32-bit MSB executable, PowerPC or cisco 4500, version 1 (SYSV), statically linked, not stripped</t>
  </si>
  <si>
    <t>151.79 KB (155430 bytes)</t>
  </si>
  <si>
    <t xml:space="preserve">CVE-2024-41473 </t>
  </si>
  <si>
    <t xml:space="preserve">	49a62c782433cb7515d22cc940455767</t>
  </si>
  <si>
    <t xml:space="preserve">	5287e501e571925acd106589364893b4c7df535b</t>
  </si>
  <si>
    <t>b5a5b9c266e84c9304a00f5fc3a37f95344c8d3c2ff04911479da3e1ef258e06</t>
  </si>
  <si>
    <t>https://virusshare.com/apiv2/download?apikey=AyBZnvviVMkKJ8vOU4LJl7GmG5A0jQ75&amp;hash=b5a5b9c266e84c9304a00f5fc3a37f95344c8d3c2ff04911479da3e1ef258e06</t>
  </si>
  <si>
    <t>https://www.virustotal.com/gui/file/b5a5b9c266e84c9304a00f5fc3a37f95344c8d3c2ff04911479da3e1ef258e06</t>
  </si>
  <si>
    <t xml:space="preserve">
1536:/VNy7KEv/VdKnJVIsER/NdhkFGXYQ7/2rKoPFnXoOIeEeFlCEDvA075e+vg8:q3yiz4XoOIe7CMnI8</t>
  </si>
  <si>
    <t xml:space="preserve">
T10FC3766A3E61BBBEE5A8873107F35F70C395299226A1D781E26CFA185F7128C1C5F350</t>
  </si>
  <si>
    <t xml:space="preserve">
116.37 KB (119167 bytes)</t>
  </si>
  <si>
    <t xml:space="preserve">
MIPS R3000</t>
  </si>
  <si>
    <t>CVE-2024-12987</t>
  </si>
  <si>
    <t xml:space="preserve">A vulnerability, which was classified as critical, was found in DrayTek Vigor2960 and Vigor300B 1.5.1.4. Affected is an unknown function of the file /cgi-bin/mainfunction.cgi/apmcfgupload of the component Web Management Interface. The manipulation of the argument session leads to os command injection. It is possible to launch the attack remotely. The exploit has been disclosed to the public and may be used. Upgrading to version 1.5.1.5 is able to address this issue. It is recommended to upgrade the affected component.
</t>
  </si>
  <si>
    <t>6a0b71437df3c8e1649a8646f0d17aed</t>
  </si>
  <si>
    <t>3a7dfab7a293f9b061789236d994c079b2c5d8c6</t>
  </si>
  <si>
    <t>8ae0bf22a9fa715b298871cba68ac3fe1a4d4edddf97f175e8abe9034261dc33</t>
  </si>
  <si>
    <t>https://virusshare.com/apiv2/download?apikey=AyBZnvviVMkKJ8vOU4LJl7GmG5A0jQ75&amp;hash=8ae0bf22a9fa715b298871cba68ac3fe1a4d4edddf97f175e8abe9034261dc33</t>
  </si>
  <si>
    <t>https://www.virustotal.com/gui/file/8ae0bf22a9fa715b298871cba68ac3fe1a4d4edddf97f175e8abe9034261dc33</t>
  </si>
  <si>
    <t>3072:1qTUyoPuQxK+e3qZOtDbOZmGsmhW0YZnRgzT7:sTUyWrxKj3qstDbOZmGsmhW0YZnRgzT7</t>
  </si>
  <si>
    <t>T152A31A4BB71D0B9BC49B6AB02DB727F18B69FD7012A251C4A10EFF8407B29702523F65</t>
  </si>
  <si>
    <t xml:space="preserve">
101.39 KB (103819 bytes)</t>
  </si>
  <si>
    <t>1 (current))</t>
  </si>
  <si>
    <t xml:space="preserve">CVE-2024-9916 </t>
  </si>
  <si>
    <t>d906ab499bdc553801d4e629835ac39e</t>
  </si>
  <si>
    <t>7e45e9860d029addc7024e5dffdda03a41afda03</t>
  </si>
  <si>
    <t xml:space="preserve">	0c899f9c673d46112c30af8b060b6cd58d7a5227c186b25734f290344c19a6af</t>
  </si>
  <si>
    <t>https://virusshare.com/apiv2/download?apikey=AyBZnvviVMkKJ8vOU4LJl7GmG5A0jQ75&amp;hash=	0c899f9c673d46112c30af8b060b6cd58d7a5227c186b25734f290344c19a6af</t>
  </si>
  <si>
    <t>https://www.virustotal.com/gui/file/0c899f9c673d46112c30af8b060b6cd58d7a5227c186b25734f290344c19a6af</t>
  </si>
  <si>
    <t>6144:43ClJeptuJU96gLKVkmm1drLbI85j9kuyrlSP:FlJFO96gMkmm1drLbI85j9kuyrlSP</t>
  </si>
  <si>
    <t xml:space="preserve">
T18C54C6097F558EF3D85ACE3709EB520240CDF82A0199A7AB7270D51CE79EA6E44F3D18</t>
  </si>
  <si>
    <t xml:space="preserve">
ELF 32-bit LSB executable, MIPS, MIPS-I version 1 (SYSV), statically linked, not stripped</t>
  </si>
  <si>
    <t>284.91 KB (291743 bytes)</t>
  </si>
  <si>
    <t>21</t>
  </si>
  <si>
    <t>CVE-2024-2353</t>
  </si>
  <si>
    <t>https://www.cve.org/CVERecord?id=CVE-2024-2353</t>
  </si>
  <si>
    <t xml:space="preserve">A vulnerability, which was classified as critical, has been found in Totolink X6000R 9.4.0cu.852_20230719. This issue affects the function setDiagnosisCfg of the file /cgi-bin/cstecgi.cgi of the component shttpd. The manipulation of the argument ip leads to os command injection. The attack may be initiated remotely. The exploit has been disclosed to the public and may be used. The identifier VDB-256313 was assigned to this vulnerability. </t>
  </si>
  <si>
    <t>33c917ce6ec60fbccafaf10f59c5739a</t>
  </si>
  <si>
    <t>416cfa7b9cf6f925de023edbfc321ba73cb5bb26</t>
  </si>
  <si>
    <t xml:space="preserve">	056e5aa22e3505fbbddc87db8494052d165e7fc1c15f3e9789c8ac82aea4f8da</t>
  </si>
  <si>
    <t>https://virusshare.com/apiv2/download?apikey=AyBZnvviVMkKJ8vOU4LJl7GmG5A0jQ75&amp;hash=	056e5aa22e3505fbbddc87db8494052d165e7fc1c15f3e9789c8ac82aea4f8da</t>
  </si>
  <si>
    <t>https://www.virustotal.com/gui/file/056e5aa22e3505fbbddc87db8494052d165e7fc1c15f3e9789c8ac82aea4f8da</t>
  </si>
  <si>
    <t xml:space="preserve">
3072:qlZReGe0Xqc9kDHuslWlT5A1fppJetJ8add9QzTsKI46iAMQzme6DyHoF5r:WeJOIfppJetJ8addQsg8zme6DyIF5r</t>
  </si>
  <si>
    <t xml:space="preserve">
T10BF33C8B9051C1F2E0460FF622A7F93B41F09E6B465B5753DB1ABDB0DA3280232E57D6</t>
  </si>
  <si>
    <t xml:space="preserve">
ELF 32-bit LSB executable, Intel 80386, version 1 (SYSV), statically linked, not stripped</t>
  </si>
  <si>
    <t xml:space="preserve">
ELF32   Operation system: Unix [EXEC 386-32] </t>
  </si>
  <si>
    <t>161.73 KB (165614 bytes)</t>
  </si>
  <si>
    <t xml:space="preserve">
Intel 80386</t>
  </si>
  <si>
    <t>CVE-2024-24328</t>
  </si>
  <si>
    <t>https://www.cve.org/CVERecord?id=CVE-2024-24328</t>
  </si>
  <si>
    <t>TOTOLINK A3300R V17.0.0cu.557_B20221024 was discovered to contain a command injection vulnerability via the enable parameter in the setMacFilterRules function.</t>
  </si>
  <si>
    <t xml:space="preserve">	302c1fd59ced8cba6b551cac9d4b0fd5</t>
  </si>
  <si>
    <t>7ef551fab64c5d4f2baa1eac1832c97136f41aa2</t>
  </si>
  <si>
    <t>6a126d8e49ffb9e6a25eb5f2841a8eee4b31f71bc7b46ca25c90b4eaf61cf262</t>
  </si>
  <si>
    <t>https://virusshare.com/apiv2/download?apikey=AyBZnvviVMkKJ8vOU4LJl7GmG5A0jQ75&amp;hash=6a126d8e49ffb9e6a25eb5f2841a8eee4b31f71bc7b46ca25c90b4eaf61cf262</t>
  </si>
  <si>
    <t>https://www.virustotal.com/gui/file/6a126d8e49ffb9e6a25eb5f2841a8eee4b31f71bc7b46ca25c90b4eaf61cf262</t>
  </si>
  <si>
    <t xml:space="preserve">
1536:G4Z8LUay6+vl/R1KIdysUmR9EiYHXw8d11VqkkFjDETki:B6ry6+vdGIdysUKs11VzkNDIki</t>
  </si>
  <si>
    <t xml:space="preserve">
T1F473840E2E619FBCFBAD863587B34E209248339226E1D545D19CFA011E7034E746FBA9</t>
  </si>
  <si>
    <t xml:space="preserve">CVE-2024-24329 </t>
  </si>
  <si>
    <t>https://www.cve.org/CVERecord?id=CVE-2024-24329</t>
  </si>
  <si>
    <t>TOTOLINK A3300R V17.0.0cu.557_B20221024 was discovered to contain a command injection vulnerability via the enable parameter in the setPortForwardRules function.</t>
  </si>
  <si>
    <t>9bdd01d82263d629f2dbbe523fed15fb</t>
  </si>
  <si>
    <t>cb3efa83317f005920c1896f6dc95ba4a85cc381</t>
  </si>
  <si>
    <t>4ce6368677d7771ed9c1ea338e8b23d7d0f69865781d7e0240b33a3561960202</t>
  </si>
  <si>
    <t>https://virusshare.com/apiv2/download?apikey=AyBZnvviVMkKJ8vOU4LJl7GmG5A0jQ75&amp;hash=4ce6368677d7771ed9c1ea338e8b23d7d0f69865781d7e0240b33a3561960202</t>
  </si>
  <si>
    <t>https://www.virustotal.com/gui/file/4ce6368677d7771ed9c1ea338e8b23d7d0f69865781d7e0240b33a3561960202</t>
  </si>
  <si>
    <t xml:space="preserve">
3072:AciKXKdRMXAjr0d+0PNfqoNEc5frzup2QmZ0oPGGQn+n:Acz5H+ENfq7gip2QmZ0oPGGQn+n</t>
  </si>
  <si>
    <t>T199B33B87631C0757C29B1AF12CA737F14FD9FA6112A222C5E40FFF901B72A741A26B59</t>
  </si>
  <si>
    <t xml:space="preserve">
ELF32   Operation system: Unix [EXEC PPC-32]  </t>
  </si>
  <si>
    <t>110.79 KB (113448 bytes)</t>
  </si>
  <si>
    <t xml:space="preserve">CVE-2024-9644 </t>
  </si>
  <si>
    <t>https://www.cve.org/CVERecord?id=CVE-2024-9644</t>
  </si>
  <si>
    <t>The Four-Faith F3x36 router using firmware v2.0.0 is vulnerable to an authentication bypass vulnerability in the administrative web server. Authentication is not enforced on some administrative functionality when using the "bapply.cgi" endpoint instead of the normal "apply.cgi" endpoint. A remote and unauthenticated can use this vulnerability to modify settings or chain with existing authenticated vulnerabilities.</t>
  </si>
  <si>
    <t xml:space="preserve">	233f91637b9ddc32ff6a0e3092b04a5e</t>
  </si>
  <si>
    <t>c93bd62ebb456e752d93242b4f10ef9e6e1f5408</t>
  </si>
  <si>
    <t xml:space="preserve">	a13bef921c6ceb3a977fa24de6270ab4eb9c340938f0674f37f4a249a613351a</t>
  </si>
  <si>
    <t>https://virusshare.com/apiv2/download?apikey=AyBZnvviVMkKJ8vOU4LJl7GmG5A0jQ75&amp;hash=	a13bef921c6ceb3a977fa24de6270ab4eb9c340938f0674f37f4a249a613351a</t>
  </si>
  <si>
    <t>https://www.virustotal.com/gui/file/a13bef921c6ceb3a977fa24de6270ab4eb9c340938f0674f37f4a249a613351a</t>
  </si>
  <si>
    <t xml:space="preserve">
1536:bquvdjii2M359rbmNPUBkAiAKJp0rrvCOL7oCxceIHUJa:2uI8jbkHJgvCMo2cP</t>
  </si>
  <si>
    <t>T1D383284754A25FB7D04A6AB92D7B45B0075BAE510F0F1A9B726CB6B4033F8CDB40E724</t>
  </si>
  <si>
    <t xml:space="preserve">
ELF Executable and Linkable format (Linux) (50.1%) </t>
  </si>
  <si>
    <t xml:space="preserve">
80.90 KB (82844 bytes)</t>
  </si>
  <si>
    <t>5464f8199908bd21536e71c1717dc5e6</t>
  </si>
  <si>
    <t xml:space="preserve">	1c891958c6a7cdc80d0b62c59a511fd7feb2a8b4</t>
  </si>
  <si>
    <t xml:space="preserve">	a13d5a3c879cbe24378b88c7b93f94dc07fcf37222d53146bd0fb39cb5bd0ef9</t>
  </si>
  <si>
    <t>https://virusshare.com/apiv2/download?apikey=AyBZnvviVMkKJ8vOU4LJl7GmG5A0jQ75&amp;hash=	a13d5a3c879cbe24378b88c7b93f94dc07fcf37222d53146bd0fb39cb5bd0ef9</t>
  </si>
  <si>
    <t>https://www.virustotal.com/gui/file/a13d5a3c879cbe24378b88c7b93f94dc07fcf37222d53146bd0fb39cb5bd0ef9</t>
  </si>
  <si>
    <t xml:space="preserve">
1536:8p4uw66yastO49zyje4MkJLwDnOD8J52rf3BstzWT/O/sjw2U59RLZ5:8pV6R+x9zyje4MkJLwDnOD8mrfRSzO/w</t>
  </si>
  <si>
    <t>T1BA735C466280D6F7D18316F1069BAFA8033AFD3A1ABBEE45F3587CF48B710847925719</t>
  </si>
  <si>
    <t>ELF 32-bit LSB executable, Intel 80386, version 1 (SYSV), statically linked, not stripped</t>
  </si>
  <si>
    <t xml:space="preserve">
72.75 KB (74492 bytes)</t>
  </si>
  <si>
    <t>15</t>
  </si>
  <si>
    <t>18</t>
  </si>
  <si>
    <t xml:space="preserve">	044f71563bc3ea937dc36db15b40a781</t>
  </si>
  <si>
    <t>9df7b523188b0ad26ea11edca09a4ff19e465152</t>
  </si>
  <si>
    <t xml:space="preserve">	6db2a8b5d5274a406724d17df7a7d1b5e55d3aa74803a4d4f95aa04f69bf6da7</t>
  </si>
  <si>
    <t>https://virusshare.com/apiv2/download?apikey=AyBZnvviVMkKJ8vOU4LJl7GmG5A0jQ75&amp;hash=	6db2a8b5d5274a406724d17df7a7d1b5e55d3aa74803a4d4f95aa04f69bf6da7</t>
  </si>
  <si>
    <t>https://www.virustotal.com/gui/file/6db2a8b5d5274a406724d17df7a7d1b5e55d3aa74803a4d4f95aa04f69bf6da7</t>
  </si>
  <si>
    <t xml:space="preserve">
6144:bXMyj7sHLO/dXWN/x41U473mk8rLaIYXjR1uwrfvG:DVj7sGmNW3mk8rLaIYXjR1uwrfvG</t>
  </si>
  <si>
    <t xml:space="preserve">
T1F134B40A6BA18EF7C89FCD3702E6850110CDE84622A97B2B7274E61CFB5E94F45D3D54</t>
  </si>
  <si>
    <t>242.19 KB (248004 bytes)</t>
  </si>
  <si>
    <t>https://www.cve.org/CVERecord?id=CVE-2017-18368</t>
  </si>
  <si>
    <t>CVE-2017-18368</t>
  </si>
  <si>
    <t>The ZyXEL P660HN-T1A v1 TCLinux Fw $7.3.15.0 v001 / 3.40(ULM.0)b31 router distributed by TrueOnline has a command injection vulnerability in the Remote System Log forwarding function, which is accessible by an unauthenticated user. The vulnerability is in the ViewLog.asp page and can be exploited through the remote_host parameter.</t>
  </si>
  <si>
    <t>0a44d7078bc1c5f1217ff503f2f3ebc8</t>
  </si>
  <si>
    <t>e1df24c118ec6ee47e6a9e46cbf5fcb79e18493a</t>
  </si>
  <si>
    <t>d827ce9b0d96222afffa1d423d9c72821bf5409513103a3106291313de9990b0</t>
  </si>
  <si>
    <t>https://virusshare.com/apiv2/download?apikey=AyBZnvviVMkKJ8vOU4LJl7GmG5A0jQ75&amp;hash=d827ce9b0d96222afffa1d423d9c72821bf5409513103a3106291313de9990b0</t>
  </si>
  <si>
    <t>https://www.virustotal.com/gui/file/d827ce9b0d96222afffa1d423d9c72821bf5409513103a3106291313de9990b0</t>
  </si>
  <si>
    <t>1536:yu8i7JcuU24N6aJNPYCV357Gm6y3JPdilGKUKzr4udKO:T8iN8BJNPYM3lGY3JP6Guk+</t>
  </si>
  <si>
    <t>T13D73F92B9252C4BEC09313B126DB9461ED23BC3A0B36610573A6BE793F75DCC9D5A342</t>
  </si>
  <si>
    <t xml:space="preserve">
ELF 64-bit LSB executable, x86-64, version 1 (SYSV), statically linked, not stripped</t>
  </si>
  <si>
    <t xml:space="preserve">
74.58 KB (76370 bytes)</t>
  </si>
  <si>
    <t>ELF64</t>
  </si>
  <si>
    <t>Advanced Micro Devices X86-64</t>
  </si>
  <si>
    <t>An issue was discovered on Dasan GPON home routers. It is possible to bypass authentication simply by appending "?images" to any URL of the device that requires authentication, as demonstrated by the /menu.html?images/ or /GponForm/diag_FORM?images/ URI</t>
  </si>
  <si>
    <t>beaf1832778557b48cc74d56e0708e36</t>
  </si>
  <si>
    <t>6d29079f4e72d66a99623d1f602b4104247498c8</t>
  </si>
  <si>
    <t>005f48251da93a96a5f907809486d35ecf27ba6b70d8cc80f1c61ae66021ce81</t>
  </si>
  <si>
    <t>https://virusshare.com/apiv2/download?apikey=AyBZnvviVMkKJ8vOU4LJl7GmG5A0jQ75&amp;hash=005f48251da93a96a5f907809486d35ecf27ba6b70d8cc80f1c61ae66021ce81</t>
  </si>
  <si>
    <t>https://www.virustotal.com/gui/file/005f48251da93a96a5f907809486d35ecf27ba6b70d8cc80f1c61ae66021ce81</t>
  </si>
  <si>
    <t>768:keYQAabmzj68IpEphF6uTb48WjHF72Sgdq61gf1pEA6jJ0kgxrEFnbamCwizF:NYQAKmzNX48ylKSgdD1M1y9jGk++Cwih</t>
  </si>
  <si>
    <t>T1C363D7A1FD42EF6AF40A9A3A46C747346530BF270B821D3173677A6696723C4B417F0A</t>
  </si>
  <si>
    <t xml:space="preserve">
ELF 32-bit MSB executable, Motorola m68k, 68020, version 1 (SYSV), statically linked, not stripped</t>
  </si>
  <si>
    <t xml:space="preserve">
ELF32   Operation system: Unix [EXEC 68K-32] </t>
  </si>
  <si>
    <t xml:space="preserve">
68.17 KB (69804 bytes)</t>
  </si>
  <si>
    <t>CVE-2018-10562</t>
  </si>
  <si>
    <t>https://www.cve.org/CVERecord?id=CVE-2018-10562</t>
  </si>
  <si>
    <t>An issue was discovered on Dasan GPON home routers. Command Injection can occur via the dest_host parameter in a diag_action=ping request to a GponForm/diag_Form URI. Because the router saves ping results in /tmp and transmits them to the user when the user revisits /diag.html, it's quite simple to execute commands and retrieve their output.</t>
  </si>
  <si>
    <t xml:space="preserve">	62b606b8af8eda9832827587478718b110667f5a</t>
  </si>
  <si>
    <t xml:space="preserve">	ec673fedd52823da1ebae7019e042382</t>
  </si>
  <si>
    <t xml:space="preserve">	f2e70e98d225c8009bb9dbca6657d6006bc386655fd49148813f22386005e568</t>
  </si>
  <si>
    <t>https://virusshare.com/apiv2/download?apikey=AyBZnvviVMkKJ8vOU4LJl7GmG5A0jQ75&amp;hash=	f2e70e98d225c8009bb9dbca6657d6006bc386655fd49148813f22386005e568</t>
  </si>
  <si>
    <t>https://www.virustotal.com/gui/file/f2e70e98d225c8009bb9dbca6657d6006bc386655fd49148813f22386005e568</t>
  </si>
  <si>
    <t>3072:V1gMeCpm/ReXloMChrs4BXgyLfFZ+EL9OLpcTeBlQg2z0mVcLnQSPLFlRB+HATs:wEY26bkpxQgVmVcLnQSPLFlRB+HATs</t>
  </si>
  <si>
    <t xml:space="preserve">
T18514180BB5D189FFC4935BB42ADFA4619C33FC390B26A1067395FE592F3DD889909290</t>
  </si>
  <si>
    <t>ELF Executable and Linkable format (Linux) (50.1%)   ELF Executable and Linkable format (generic) (49.8%)</t>
  </si>
  <si>
    <t>ELF64   Operation system: Unix [EXEC AMD64-64]</t>
  </si>
  <si>
    <t>199.43 KB (204218 bytes)</t>
  </si>
  <si>
    <t>CVE-2017-8225</t>
  </si>
  <si>
    <t>https://www.cve.org/CVERecord?id=CVE-2017-8225</t>
  </si>
  <si>
    <t>On Wireless IP Camera (P2P) WIFICAM devices, access to .ini files (containing credentials) is not correctly checked. An attacker can bypass authentication by providing an empty loginuse parameter and an empty loginpas parameter in the URI.</t>
  </si>
  <si>
    <t xml:space="preserve">	c64ecbf4112f5b94cb35013f78a66d77</t>
  </si>
  <si>
    <t>0c2c4552f5a5afbccb3e6c8078da69300392d258</t>
  </si>
  <si>
    <t>a1c84ae023c742be66419e5aaa1a4571aa4d81d74bca58cbcbe1bdc1ad157cb5</t>
  </si>
  <si>
    <t>https://virusshare.com/apiv2/download?apikey=AyBZnvviVMkKJ8vOU4LJl7Gm&amp;hash=a1c84ae023c742be66419e5aaa1a4571aa4d81d74bca58cbcbe1bdc1ad157cb5</t>
  </si>
  <si>
    <t>https://www.virustotal.com/gui/file/a1c84ae023c742be66419e5aaa1a4571aa4d81d74bca58cbcbe1bdc1ad157cb5</t>
  </si>
  <si>
    <t xml:space="preserve">
768:2XisVflrtfYmmxi98jRszbeV8fzX7nFGEdofda4drarMY9WAUJzct4EH:0fzm8SjWdfzrnFpCd1Y3UpQr</t>
  </si>
  <si>
    <t xml:space="preserve">
T15C334B42322C0A43D1A26FF0652B17E193AEEDE121F8F189660FCB564275E33158AEDD</t>
  </si>
  <si>
    <t>53.59 KB (54876 bytes)</t>
  </si>
  <si>
    <t xml:space="preserve"> 84c1c00797904489b5690723e91546ead8c07de5c58941890e6d9f4e5ca06571</t>
  </si>
  <si>
    <t>adec19088834e6ecaf74fbf9a4c3ed84c51f4b10</t>
  </si>
  <si>
    <t>dfe76bf0a88df8b2867854bbef60259a</t>
  </si>
  <si>
    <t>https://bazaar.abuse.ch/download/84c1c00797904489b5690723e91546ead8c07de5c58941890e6d9f4e5ca06571/</t>
  </si>
  <si>
    <t>84c1c00797904489b5690723e91546ead8c07de5c58941890e6d9f4e5ca06571</t>
  </si>
  <si>
    <t>1536:yYI0ARqw1qAEW67UIWi7M8gmfmJo0WgswnD6Efyq8PxlRk02K3/J1V+uBNu:yYI0ARqw1qAEv7UIFM8oJorFquyjkRkX</t>
  </si>
  <si>
    <t xml:space="preserve">
T145831229134414E5D62685F1D3FD1F84BE991FA9CFE2EC156812BC8DEE323AD2CD2618</t>
  </si>
  <si>
    <t xml:space="preserve">
ELF 32-bit MSB executable, MIPS, MIPS-I version 1 (SYSV), statically linked, no section header</t>
  </si>
  <si>
    <t>83.23 KB (85232 bytes)</t>
  </si>
  <si>
    <t>CVE-2018-14847</t>
  </si>
  <si>
    <t>https://www.cve.org/CVERecord?id=CVE-2018-14847</t>
  </si>
  <si>
    <t>MikroTik RouterOS through 6.42 allows unauthenticated remote attackers to read arbitrary files and remote authenticated attackers to write arbitrary files due to a directory traversal vulnerability in the WinBox interface.</t>
  </si>
  <si>
    <t>https://www.virustotal.com/gui/file/84c1c00797904489b5690723e91546ead8c07de5c58941890e6d9f4e5ca06571</t>
  </si>
  <si>
    <t xml:space="preserve">
83.23 KB (85232 bytes)</t>
  </si>
  <si>
    <t>CVE-2018-7445</t>
  </si>
  <si>
    <t>https://www.cve.org/CVERecord?id=CVE-2018-7445</t>
  </si>
  <si>
    <t xml:space="preserve">A buffer overflow was found in the MikroTik RouterOS SMB service when processing NetBIOS session request messages. Remote attackers with access to the service can exploit this vulnerability and gain code execution on the system. The overflow occurs before authentication takes place, so it is possible for an unauthenticated remote attacker to exploit it. </t>
  </si>
  <si>
    <t>1c6b54ec36151af2d2a1d85a6fb442ca</t>
  </si>
  <si>
    <t xml:space="preserve"> fa4f638262e0467a13cd1dab5a303657560d03ea</t>
  </si>
  <si>
    <t>130558bf6046130b0a48d0e9df6f2f9e3648afede53a86c03ffb61b34013c802</t>
  </si>
  <si>
    <t>https://bazaar.abuse.ch/download/130558bf6046130b0a48d0e9df6f2f9e3648afede53a86c03ffb61b34013c802/</t>
  </si>
  <si>
    <t>https://www.virustotal.com/gui/file/130558bf6046130b0a48d0e9df6f2f9e3648afede53a86c03ffb61b34013c802</t>
  </si>
  <si>
    <t xml:space="preserve">
1536:yYI0ARqw1qAEW67UIWi7M8gmfmJo0WgswnDl:yYI0ARqw1qAEv7UIFM8oJorFqZ</t>
  </si>
  <si>
    <t xml:space="preserve">
T18633014623972FB6D5719DE1E3FCEF4AA04A7DA49FE61C0A7C213559A47236C28C4C18</t>
  </si>
  <si>
    <t>50.88 KB (52096 bytes)</t>
  </si>
  <si>
    <t>7a555055be675d93e8ad1ce7061acb222c383708f148f31c50b0cdda9da0ced9</t>
  </si>
  <si>
    <t>0434ee67b69a9189bd11ced779a17c6f</t>
  </si>
  <si>
    <t>37a5c5a0c79b22db30f12eff57ad36af99ea8a57</t>
  </si>
  <si>
    <t>https://www.virustotal.com/gui/file/7a555055be675d93e8ad1ce7061acb222c383708f148f31c50b0cdda9da0ced9</t>
  </si>
  <si>
    <t>https://bazaar.abuse.ch/download/7a555055be675d93e8ad1ce7061acb222c383708f148f31c50b0cdda9da0ced9/</t>
  </si>
  <si>
    <t>192:YTmCc4HnYXvQ2mDuYedvuXH2oLxZ6qSAM9vrqj7/sBJ6HGpTJDqiwOrvw9Bpjdyd:YTYXvQDuYY2xZ6VTgDK4mpwTl5yeo</t>
  </si>
  <si>
    <t>T10C42B0063E9C3B07E4A187F1FB396E75B2015E5E672F984BD954243154F316AF500C6B</t>
  </si>
  <si>
    <t>12.64 KB (12942 bytes)</t>
  </si>
  <si>
    <t>An issue was discovered on Dasan GPON home routers. Command Injection can occur via the dest_host parameter in a diag_action=ping request to a GponForm/diag_Form URI. Because the router saves ping results in /tmp and transmits them to the user when the user revisits /diag.html, it's quite simple to execute commands and retrieve their output</t>
  </si>
  <si>
    <t>b5a0f760908852c4cf85dc51112f3def</t>
  </si>
  <si>
    <t>5a5399520cdd589decd710e46466b54104b0eb9b</t>
  </si>
  <si>
    <t>81b00a1fa1258c7c961745a948c0e86c0361730a875d40c0f831302f719d5a5d</t>
  </si>
  <si>
    <t>https://bazaar.abuse.ch/download/81b00a1fa1258c7c961745a948c0e86c0361730a875d40c0f831302f719d5a5d/</t>
  </si>
  <si>
    <t>1536:87vbq1lGAXSEYQjbChaAU2yU23M51DjZgSQAvcYkFtZTjzBP:8D+CAXFYQChaAUk5ljnQssF</t>
  </si>
  <si>
    <t xml:space="preserve">
T11B7302E017B5178C1372E8393BDD305F9124223972AA35606D87528EF957603B6B2DBE</t>
  </si>
  <si>
    <t>ELF 32-bit LSB executable, ARM, EABI5 version 1 (GNU/Linux), statically linked, no section header</t>
  </si>
  <si>
    <t xml:space="preserve">
76.01 KB (77832 bytes)</t>
  </si>
  <si>
    <t>UNIX - Linux</t>
  </si>
  <si>
    <t>d6da2e2d4911a5470759b27dcb5b98f5</t>
  </si>
  <si>
    <t>b87c0ed29e584cc94e63addfbb6ef3c95e6fae0d</t>
  </si>
  <si>
    <t>9e9f35c6f25de8af36179c4679225864de31a6bc38429531a641abbef82edf61</t>
  </si>
  <si>
    <t>https://bazaar.abuse.ch/download/9e9f35c6f25de8af36179c4679225864de31a6bc38429531a641abbef82edf61/</t>
  </si>
  <si>
    <t xml:space="preserve">
1536:87vbq1lGAXSEYQjbChaAU2yU23M51DjZgSQAvcYkFtZTjzBx:8D+CAXFYQChaAUk5ljnQss/</t>
  </si>
  <si>
    <t>T1EC7302E01BB5178C1236E8383BDD306E9128723A329A39646D97518EF917703B673DBD</t>
  </si>
  <si>
    <t xml:space="preserve">
74.79 KB (76584 bytes)</t>
  </si>
  <si>
    <t>-2</t>
  </si>
  <si>
    <t>87b2f785a003e85ca75ca3b07f94c89e</t>
  </si>
  <si>
    <t>7c92b6b63edd3e5b52d622c98af73375b37e9b75</t>
  </si>
  <si>
    <t>c8864a6db3f2fc370968e2cc6216f19b6d469a438f365143ba80e4b1f0a58694</t>
  </si>
  <si>
    <t>https://bazaar.abuse.ch/download/c8864a6db3f2fc370968e2cc6216f19b6d469a438f365143ba80e4b1f0a58694/</t>
  </si>
  <si>
    <t>https://www.virustotal.com/gui/file/9e9f35c6f25de8af36179c4679225864de31a6bc38429531a641abbef82edf61/details</t>
  </si>
  <si>
    <t>https://www.virustotal.com/gui/file/c8864a6db3f2fc370968e2cc6216f19b6d469a438f365143ba80e4b1f0a58694</t>
  </si>
  <si>
    <t>24576:+yyWc9h5XQWlFEqEwYin0dxUS0hlAyMvqNtZHfxlL7T4OlRcFpbxLImhkWtHEkiv:+yyHlQWEqEws6jAYtZfxZQvLIUkWWv</t>
  </si>
  <si>
    <t>T1FF853393BAC4ACE56CDA41A385A27F3484D004E06D6BAD642547F92371FB17A13D13BF</t>
  </si>
  <si>
    <t xml:space="preserve">
ELF 32-bit LSB executable, ARM, EABI5 version 1 (GNU/Linux), statically linked, no section header</t>
  </si>
  <si>
    <t xml:space="preserve">
ELF32   Operation system: Unix [EXEC ARM-32]   Packer: UPX [NRV,brute]</t>
  </si>
  <si>
    <t>1.77 MB (1860976 bytes)</t>
  </si>
  <si>
    <t>https://www.cve.org/CVERecord/SearchResults?query=CVE-2016-10372</t>
  </si>
  <si>
    <t>e3d547bd6b3e194c104f59d012fe295a</t>
  </si>
  <si>
    <t>2943582ede8f9407cd4a2caa7294c2b9be2b29d1</t>
  </si>
  <si>
    <t>a8f35a473cce881a9663399251eb8ec59f3260fbf409e2997f1d93612fd45f37</t>
  </si>
  <si>
    <t>https://www.virustotal.com/gui/file/a8f35a473cce881a9663399251eb8ec59f3260fbf409e2997f1d93612fd45f37</t>
  </si>
  <si>
    <t>https://bazaar.abuse.ch/download/a8f35a473cce881a9663399251eb8ec59f3260fbf409e2997f1d93612fd45f37/</t>
  </si>
  <si>
    <t>384:YTYXvQDuYY2xZ6VTgDK4mpwTl5yejHSDeWBbo7hcXBOo3g1qsI:YTYIDfYG6ZmewZ59+Nw1qsI</t>
  </si>
  <si>
    <t>T1C2A2E14627983743E46255F5F37DBF89B2026DACAB7F581750592133607311B6608CBF</t>
  </si>
  <si>
    <t>ELF 32-bit MSB executable, MIPS, MIPS-I version 1 (SYSV), statically linked, no section header</t>
  </si>
  <si>
    <t xml:space="preserve">
21.06 KB (21568 bytes)</t>
  </si>
  <si>
    <t>https://www.cve.org/CVERecord/SearchResults?query=CVE-2018-10562</t>
  </si>
  <si>
    <t>https://www.virustotal.com/gui/file/81b00a1fa1258c7c961745a948c0e86c0361730a875d40c0f831302f719d5a5d</t>
  </si>
  <si>
    <t xml:space="preserve">
81b00a1fa1258c7c961745a948c0e86c0361730a875d40c0f831302f719d5a5d</t>
  </si>
  <si>
    <t>https://bazaar.abuse.ch/download/
81b00a1fa1258c7c961745a948c0e86c0361730a875d40c0f831302f719d5a5d/</t>
  </si>
  <si>
    <t>https://www.virustotal.com/gui/file/81b00a1fa1258c7c961745a948c0e86c0361730a875d40c0f831302f719d5a5d/details</t>
  </si>
  <si>
    <t>T11B7302E017B5178C1372E8393BDD305F9124223972AA35606D87528EF957603B6B2DBE</t>
  </si>
  <si>
    <t>ELF Executable and Linkable format (Linux) (50.1%) </t>
  </si>
  <si>
    <t>EXEC</t>
  </si>
  <si>
    <t>a770397f4dedb5b829d479a796f581a7</t>
  </si>
  <si>
    <t>dec32a9128fad437ad38d2b44430296b6bff3409</t>
  </si>
  <si>
    <t>6fb1abffa32badf868367605a2828c7cf4012f46faa3b49fc44ab2ac14fad5a4</t>
  </si>
  <si>
    <t>https://bazaar.abuse.ch/download/6fb1abffa32badf868367605a2828c7cf4012f46faa3b49fc44ab2ac14fad5a4/</t>
  </si>
  <si>
    <t>https://www.virustotal.com/gui/file/6fb1abffa32badf868367605a2828c7cf4012f46faa3b49fc44ab2ac14fad5a4/details</t>
  </si>
  <si>
    <t>1536:yYI0ARqw1qAEW67UIWi7M8gmfmJo0WgswnD6Efyq8PxlRkp2K3/JI:yYI0ARqw1qAEv7UIFM8oJorFquyjkRk4</t>
  </si>
  <si>
    <t>T1CD73121613A9296162314AF1D7FE6F88E50D2A6C8FF1AC24BC227C68ED3236D2CD5519</t>
  </si>
  <si>
    <t xml:space="preserve">
ELF 32-bit MSB executable, MIPS, MIPS-I version 1 (SYSV), statically linked, no section headeR</t>
  </si>
  <si>
    <t>DESCONOCIDO</t>
  </si>
  <si>
    <t xml:space="preserve">
74.09 KB (75864 bytes)</t>
  </si>
  <si>
    <t xml:space="preserve">The miniigd SOAP service in Realtek SDK allows remote attackers to execute arbitrary code via a crafted NewInternalClient request, as exploited in the wild through 2023.
</t>
  </si>
  <si>
    <t xml:space="preserve">
e03fcf913a626fbd957580d10dcece9c</t>
  </si>
  <si>
    <t>adf407793137162939c4db2c48427a5326c31f09</t>
  </si>
  <si>
    <t>421114c781335aa564154e0a88c87345e5fca232093b39c1695ad6ffcea4b7be</t>
  </si>
  <si>
    <t>https://bazaar.abuse.ch/download/421114c781335aa564154e0a88c87345e5fca232093b39c1695ad6ffcea4b7be/</t>
  </si>
  <si>
    <t>https://www.virustotal.com/gui/file/421114c781335aa564154e0a88c87345e5fca232093b39c1695ad6ffcea4b7be/details</t>
  </si>
  <si>
    <t>1536:yYI0ARqw1qAEW67UIWi7M8gmfmJo0WgswnD6Efh:yYI0ARqw1qAEv7UIFM8oJorFquyh</t>
  </si>
  <si>
    <t xml:space="preserve">
T1C533024523A73AB6C57548F1A7F8FF49F14A3DA49FF61C0A7C217A58A47236C28C491</t>
  </si>
  <si>
    <t>52.83 KB (54096 bytes)</t>
  </si>
  <si>
    <t>b48a07da2d2d29a37167a271dcc00ff7</t>
  </si>
  <si>
    <t>df57b3fa81977e3f84d71791d15f5ccac9a22c92</t>
  </si>
  <si>
    <t>b12cfc349d7818be942030aac1c9ed75d43e676d9cd02ba999ee2b462f23624b</t>
  </si>
  <si>
    <t>https://bazaar.abuse.ch/download/b12cfc349d7818be942030aac1c9ed75d43e676d9cd02ba999ee2b462f23624b/</t>
  </si>
  <si>
    <t>https://www.virustotal.com/gui/file/b12cfc349d7818be942030aac1c9ed75d43e676d9cd02ba999ee2b462f23624b/details</t>
  </si>
  <si>
    <t xml:space="preserve">
1536:yYI0ARqw1qAEW67UIWi7M8gmfmJo0WgswnD6Efyq8PxlRk6:yYI0ARqw1qAEv7UIFM8oJorFquyjkRk6</t>
  </si>
  <si>
    <t>T1C463020633992972967146F2E7FDAB4CE64D2E698FF16C24BC113D6CE8313AD4CC8919</t>
  </si>
  <si>
    <t xml:space="preserve">
67.11 KB (68724 bytes)</t>
  </si>
  <si>
    <t>CVE-2014-9222</t>
  </si>
  <si>
    <t>https://www.cve.org/CVERecord?id=CVE-2014-9222</t>
  </si>
  <si>
    <t xml:space="preserve">AllegroSoft RomPager 4.34 and earlier, as used in Huawei Home Gateway products and other vendors and products, allows remote attackers to gain privileges via a crafted cookie that triggers memory corruption, aka the "Misfortune Cookie" vulnerability.
</t>
  </si>
  <si>
    <t>4ec4de30ce7396a195f5fc28fd2a67da</t>
  </si>
  <si>
    <t xml:space="preserve">
53b6aa4278c7dbead76dab4af14b3730edfe15fc</t>
  </si>
  <si>
    <t xml:space="preserve">
91a8ac9cef373cd162c9fdf57f08fcd890c52c38313264d1713eba257e554441</t>
  </si>
  <si>
    <t>https://bazaar.abuse.ch/download/91a8ac9cef373cd162c9fdf57f08fcd890c52c38313264d1713eba257e554441/</t>
  </si>
  <si>
    <t>https://www.virustotal.com/gui/file/91a8ac9cef373cd162c9fdf57f08fcd890c52c38313264d1713eba257e554441/details</t>
  </si>
  <si>
    <t>1536:yYI0ARqw1qAEW67UIWi7M8gmfmJo0WgswnD6Efyq8PxlRk0:yYI0ARqw1qAEv7UIFM8oJorFquyjkRk0</t>
  </si>
  <si>
    <t xml:space="preserve">
T1CE63120633992972967146F1E7FEAB4CE24D2E698FF16C247C113D6CE8313AE4CC8919</t>
  </si>
  <si>
    <t>66.99 KB (68600 bytes)</t>
  </si>
  <si>
    <t xml:space="preserve">
7dff56c77e40c578d6687c7611ba19b1</t>
  </si>
  <si>
    <t xml:space="preserve">
f4aa79f77dc51de404031722e5aa4f3d0e77d8d8</t>
  </si>
  <si>
    <t>bdd7e13e31e13596d5df4caf68827934fcca52023e7f299de77d74bdc7275d7c</t>
  </si>
  <si>
    <t>https://bazaar.abuse.ch/download/bdd7e13e31e13596d5df4caf68827934fcca52023e7f299de77d74bdc7275d7c/</t>
  </si>
  <si>
    <t>https://www.virustotal.com/gui/file/bdd7e13e31e13596d5df4caf68827934fcca52023e7f299de77d74bdc7275d7c/details</t>
  </si>
  <si>
    <t>768:YTYIDfYG6ZmewZ59+Nw1qsREH20j7UNqVwi7M8ghFM04X:yYI0ARqw1qAEW67UIWi7M8gQ</t>
  </si>
  <si>
    <t>T11803F24732953F33E12248F4D3FCAF8A6159BD54EFDA142BA4113A61B07225D28CE82A</t>
  </si>
  <si>
    <t xml:space="preserve">
37.97 KB (38880 bytes)</t>
  </si>
  <si>
    <t xml:space="preserve">
f4fda3cdbf0ba99319f44e8a865dfaa4</t>
  </si>
  <si>
    <t>84be88c8d424e4aced9458d6d65bd493ae6eb217</t>
  </si>
  <si>
    <t xml:space="preserve">
b7470f07cace85a6065df567f94356520e644e537b46ab7af1a0f0f3b1d96ca6</t>
  </si>
  <si>
    <t>https://bazaar.abuse.ch/download/
b7470f07cace85a6065df567f94356520e644e537b46ab7af1a0f0f3b1d96ca6/</t>
  </si>
  <si>
    <t>https://www.virustotal.com/gui/file/b7470f07cace85a6065df567f94356520e644e537b46ab7af1a0f0f3b1d96ca6/details</t>
  </si>
  <si>
    <t>1536:yYI0ARqw1qAEW67UIWi7M8gmfmJo0WgswnD6EfyqD:yYI0ARqw1qAEv7UIFM8oJorFquyjD</t>
  </si>
  <si>
    <t xml:space="preserve">
T145431206236A2A76857149F4E7FCBF8DE6463E688FF55C197C107A28B57136C2CC881C</t>
  </si>
  <si>
    <t>57.86 KB (59248 bytes)</t>
  </si>
  <si>
    <t>26d48b9510d748466d4d41cd46d018fd</t>
  </si>
  <si>
    <t xml:space="preserve">
d5455f679226f6bcac55fa0025790f2591a7444b</t>
  </si>
  <si>
    <t>eef2a53dd70578b8a081b07d1631151da39274fd382803c9703fdcce9e86fa3a</t>
  </si>
  <si>
    <t>https://bazaar.abuse.ch/download/eef2a53dd70578b8a081b07d1631151da39274fd382803c9703fdcce9e86fa3a/</t>
  </si>
  <si>
    <t>https://www.virustotal.com/gui/file/eef2a53dd70578b8a081b07d1631151da39274fd382803c9703fdcce9e86fa3a/details</t>
  </si>
  <si>
    <t>768:YTYIDfYG6ZmewZ59+Nw1qsREH20j7UNqVwi7M8ghFM04ZTzEW:yYI0ARqw1qAEW67UIWi7M8gml</t>
  </si>
  <si>
    <t xml:space="preserve">
T1D613028336953F73D5218CF4D7FCEFCA614A7D94AFD9141B68113A98B07135C28C982A</t>
  </si>
  <si>
    <t xml:space="preserve">
42.32 KB (43338 bytes)</t>
  </si>
  <si>
    <t>7485626e50595dfc04c3550949988e50859534f7749edb1488e0e010ab88a9ef</t>
  </si>
  <si>
    <t>https://bazaar.abuse.ch/download/7485626e50595dfc04c3550949988e50859534f7749edb1488e0e010ab88a9ef/</t>
  </si>
  <si>
    <t>https://www.virustotal.com/gui/file/7485626e50595dfc04c3550949988e50859534f7749edb1488e0e010ab88a9ef/details</t>
  </si>
  <si>
    <t>b6633551cfd059baafad49ff1f79ca2c</t>
  </si>
  <si>
    <t xml:space="preserve">
768:YTYIDfYG6ZmewZ59+Nw1qsREH20j7UNqVwi7M8ghFM04ZTzEsDm1Xo0Wg35:yYI0ARqw1qAEW67UIWi7M8gmfmJo0Wgp</t>
  </si>
  <si>
    <t xml:space="preserve">
T13B23028623663F72C12158F5E7FCFF85A04A7D94AFE6180E7C227699A47135C28C8D1D</t>
  </si>
  <si>
    <t xml:space="preserve">
47.48 KB (48620 bytes)</t>
  </si>
  <si>
    <t xml:space="preserve">
4590fd9bbd63a858d0d12b4d6768b0f6fe6f7edc</t>
  </si>
  <si>
    <t>10d9050fd2cce094214ce2fecc244ec6c2d06479a2f64f0567a80c01b995e384</t>
  </si>
  <si>
    <t xml:space="preserve">
997d880d20b046da063c3060f9fba6233034cca3</t>
  </si>
  <si>
    <t>https://bazaar.abuse.ch/download/10d9050fd2cce094214ce2fecc244ec6c2d06479a2f64f0567a80c01b995e384/</t>
  </si>
  <si>
    <t>https://www.virustotal.com/gui/file/10d9050fd2cce094214ce2fecc244ec6c2d06479a2f64f0567a80c01b995e384/details</t>
  </si>
  <si>
    <t>1536:yYI0ARqw1qAEW67UIWi7M8gmfmJo0WgswnD6Efyq8PR:yYI0ARqw1qAEv7UIFM8oJorFquyje</t>
  </si>
  <si>
    <t xml:space="preserve">
T19953120623AA2AB255618AF1E7FDBF88F6493D588FF66C157C107D28B97235C1CC490D</t>
  </si>
  <si>
    <t xml:space="preserve">
60.11 KB (61548 bytes)</t>
  </si>
  <si>
    <t>1775473f4f16bf2131de716cc76d2257</t>
  </si>
  <si>
    <t xml:space="preserve"> 70d557512aba670e4c2a1540ea82eba4</t>
  </si>
  <si>
    <t xml:space="preserve">
76346efa0399f01d1b598ba4b7cd6cf7f1ef31e1</t>
  </si>
  <si>
    <t xml:space="preserve">
1a50f7ed40a2d047bb7a95eae650571dfee80694818dddc54a57e9f0a93617e5</t>
  </si>
  <si>
    <t>https://bazaar.abuse.ch/download/
1a50f7ed40a2d047bb7a95eae650571dfee80694818dddc54a57e9f0a93617e5/</t>
  </si>
  <si>
    <t>https://www.virustotal.com/gui/file/1a50f7ed40a2d047bb7a95eae650571dfee80694818dddc54a57e9f0a93617e5/details</t>
  </si>
  <si>
    <t>1536:yYI0ARqw1qAEW67UIWi7M8gmfmJo0WgswnD6Efyq8PxlRkp2K3z:yYI0ARqw1qAEv7UIFM8oJorFquyjkRkJ</t>
  </si>
  <si>
    <t xml:space="preserve">
T1B873121623AD2971527145F1E7FE6F8CE10E3A688FF16C246C217C68B93236E5CD8519</t>
  </si>
  <si>
    <t>72.14 KB (73876 bytes)</t>
  </si>
  <si>
    <t xml:space="preserve"> 60b5b171e979d2079cff3e47bee2fe990a7650e6c0eeffeaee72208adbb4cb69</t>
  </si>
  <si>
    <t>b301d0d423afaf290468e9ef13bb1b39</t>
  </si>
  <si>
    <t xml:space="preserve">
d14261d6f7f85b965f070b1076b38c3d91c89754</t>
  </si>
  <si>
    <t>https://bazaar.abuse.ch/download/
d14261d6f7f85b965f070b1076b38c3d91c89754/</t>
  </si>
  <si>
    <t>https://www.virustotal.com/gui/file/60b5b171e979d2079cff3e47bee2fe990a7650e6c0eeffeaee72208adbb4cb69/details</t>
  </si>
  <si>
    <t xml:space="preserve">
1536:yYI0ARqw1qAEW67UIWi7M8gmfmJo0WgswnD6Ef9:yYI0ARqw1qAEv7UIFM8oJorFquy9</t>
  </si>
  <si>
    <t xml:space="preserve">
T17533024623A63BB6857188F1A7F8FF49F14A3EA4DFF55C097C217A58A43236C28C491C</t>
  </si>
  <si>
    <t xml:space="preserve">
53.44 KB (54720 bytes)</t>
  </si>
  <si>
    <t>6950f28382d7f11e18bdf53f3983117b</t>
  </si>
  <si>
    <t>71891e12f5f6c6c86dcc8f64e0b2f309af037a60</t>
  </si>
  <si>
    <t>e9decec9730c894effbb5b0b7686a1883bdf0bc29c6a1e28dede706416632d7c</t>
  </si>
  <si>
    <t>https://bazaar.abuse.ch/download/e9decec9730c894effbb5b0b7686a1883bdf0bc29c6a1e28dede706416632d7c/</t>
  </si>
  <si>
    <t>https://www.virustotal.com/gui/file/e9decec9730c894effbb5b0b7686a1883bdf0bc29c6a1e28dede706416632d7c/details</t>
  </si>
  <si>
    <t xml:space="preserve">
1536:W35b9Vc4N3J6lreu5r4hWj8LLWDloRmF+wVOz+sXcfW7k:Ab9Vc4JJ6liuq0Yn2oRmEwVOz+ucfW7k</t>
  </si>
  <si>
    <t xml:space="preserve">
T11A833C02E743C6B3CC830BB2029BAE665931BDAA1E269F49F31D7DF45B128C47116F56</t>
  </si>
  <si>
    <t xml:space="preserve">
ELF32   Operation system: Unix [EXEC 386-32]  </t>
  </si>
  <si>
    <t xml:space="preserve">
83.01 KB (84999 bytes)</t>
  </si>
  <si>
    <t xml:space="preserve">8ecafda00f1f5e5f8e94a10bb94d79b3 </t>
  </si>
  <si>
    <t xml:space="preserve">c6f057c974b24f6abdac5b76b10040b9 </t>
  </si>
  <si>
    <t xml:space="preserve">ce6b524db5612552294b5661effed7bd </t>
  </si>
  <si>
    <t xml:space="preserve">6cd85642bc8cedc2a4b0611aaf2ace54 </t>
  </si>
  <si>
    <t xml:space="preserve">a8f0b7b152bbc81b670c3eae7171347c </t>
  </si>
  <si>
    <t xml:space="preserve">2d6181464e5fd1e4212e6f4162a87421 </t>
  </si>
  <si>
    <t xml:space="preserve">afce27c7adfd3dcd3b16f6c54e2e44db </t>
  </si>
  <si>
    <t xml:space="preserve">660226480eab0d1418833d3f68ff9c63 </t>
  </si>
  <si>
    <t>c273f287456d016e70f2dad586631be8</t>
  </si>
  <si>
    <t>3c6f512e0f23189ac5e7d9c416c188a3c02f0bd8</t>
  </si>
  <si>
    <t xml:space="preserve">
3ccfec6068f0df7a18ccb5a9a1f94ef3cdfd4648ed950ac33125cf0c8ac7a4e3</t>
  </si>
  <si>
    <t>https://bazaar.abuse.ch/download/
3ccfec6068f0df7a18ccb5a9a1f94ef3cdfd4648ed950ac33125cf0c8ac7a4e3/</t>
  </si>
  <si>
    <t>https://www.virustotal.com/gui/file/3ccfec6068f0df7a18ccb5a9a1f94ef3cdfd4648ed950ac33125cf0c8ac7a4e3/details</t>
  </si>
  <si>
    <t xml:space="preserve">
3072:Wole8S49Ii7Kr7AaaPhEMWWn0oL9o2cuFUjhzZj+:jlenOTaaPhEMWW0oLhckULj+</t>
  </si>
  <si>
    <t>T11CA3084AB9819F11D4C631FAFA9F415933136FBCD3EA7102C920AF6427CA99B0E77512</t>
  </si>
  <si>
    <t xml:space="preserve">
ELF 32-bit LSB executable, ARM, EABI4 version 1 (SYSV), statically linked, stripped</t>
  </si>
  <si>
    <t xml:space="preserve">
ELF32   Operation system: Unix [EXEC ARM-32]   Compiler: gcc ((GNU) 3.3.2 20031005 (Debian prerelease)) [EXEC ARM-32]
Magika
ELF</t>
  </si>
  <si>
    <t>103.16 KB (105640 bytes)</t>
  </si>
  <si>
    <t>DDOS</t>
  </si>
  <si>
    <t xml:space="preserve">
80295c6fdf8fff202829732e58428d656b38f6bd</t>
  </si>
  <si>
    <t>4e114c1111ecdaf0a7622a347c025cd3f9584be170b129113d836a2a5a7c169f</t>
  </si>
  <si>
    <t>https://bazaar.abuse.ch/download/4e114c1111ecdaf0a7622a347c025cd3f9584be170b129113d836a2a5a7c169f/</t>
  </si>
  <si>
    <t>https://www.virustotal.com/gui/file/4e114c1111ecdaf0a7622a347c025cd3f9584be170b129113d836a2a5a7c169f/details</t>
  </si>
  <si>
    <t>536:/N1w60+jmqw2+GsHimydhuYmXHeWOaIq1+Vrq/bki8:/g60L6hlE1HeWlIjC8</t>
  </si>
  <si>
    <t>T1B3734B42B30C0947C1A75DF03A3F17D093BEAA9121E4F784655FAB4A92B6E321586FCD</t>
  </si>
  <si>
    <t>75.72 KB (77536 bytes)</t>
  </si>
  <si>
    <t xml:space="preserve">
35f07393a6ba883d020a6ee6f519ce26d8937517</t>
  </si>
  <si>
    <t>7014cd6cd55b5bb516b8e9dd150c0ed6c3bee2a578ae7a8410d581c0fe5ff6fa</t>
  </si>
  <si>
    <t>https://bazaar.abuse.ch/download/7014cd6cd55b5bb516b8e9dd150c0ed6c3bee2a578ae7a8410d581c0fe5ff6fa/</t>
  </si>
  <si>
    <t>https://www.virustotal.com/gui/file/7014cd6cd55b5bb516b8e9dd150c0ed6c3bee2a578ae7a8410d581c0fe5ff6fa/details</t>
  </si>
  <si>
    <t xml:space="preserve">
1536:gOM/BCaYLJMCZTLy+Uu4Mn8JibKNZKrlpnyj:viAaY+wG5mKN6yj</t>
  </si>
  <si>
    <t>T197A3820AAF604FF3ECAFDC77499A2B45248D541A21987B79BD70D418F64E20F19E38B1</t>
  </si>
  <si>
    <t>ELF32   Operation system: Unix [EXEC MIPS-32]</t>
  </si>
  <si>
    <t xml:space="preserve">
98.11 KB (100468 bytes)</t>
  </si>
  <si>
    <t>31b6cbe9ce0defd81b2d9d14a4796685c01f90ec</t>
  </si>
  <si>
    <t>03d4a5f4f903bb4d9aae92a06af6ce0128daeaa1847b01fdb8d0e08d9922b9f5</t>
  </si>
  <si>
    <t>https://bazaar.abuse.ch/sample/6cd85642bc8cedc2a4b0611aaf2ace54/ </t>
  </si>
  <si>
    <t>VirusTotal - File - 03d4a5f4f903bb4d9aae92a06af6ce0128daeaa1847b01fdb8d0e08d9922b9f5</t>
  </si>
  <si>
    <t>192:ebokkAkXD+qwqz3MbMLX55iV8JW0pKbz0H5m6cq/CG0DCyiGE8CnJkXk53TZlrw9:eEkEXBtQQ15iV8ozMHu2UUIrl</t>
  </si>
  <si>
    <t xml:space="preserve">
T1E6527424997B22712377C93F8BD75419416AA50313A0D1107E2FD3E09FA21B5F3B6B9E</t>
  </si>
  <si>
    <t>c</t>
  </si>
  <si>
    <t xml:space="preserve">
C source, ASCII text</t>
  </si>
  <si>
    <t xml:space="preserve">
file seems to be plain text/ASCII (0%)</t>
  </si>
  <si>
    <t>13.75 KB (14075 bytes)</t>
  </si>
  <si>
    <t>mirai</t>
  </si>
  <si>
    <t>c8804b6bae332311c4d2133e6b6bf038d8a50493</t>
  </si>
  <si>
    <t>707ca8053337ef21baa01939b979d3a192b013ec473d8d37ce05122335208dff</t>
  </si>
  <si>
    <t>https://bazaar.abuse.ch/download/707ca8053337ef21baa01939b979d3a192b013ec473d8d37ce05122335208dff/</t>
  </si>
  <si>
    <t>https://www.virustotal.com/gui/file/707ca8053337ef21baa01939b979d3a192b013ec473d8d37ce05122335208dff/details</t>
  </si>
  <si>
    <t xml:space="preserve">
1536:Fu27gBY9FSSpj3z5Qxw6YaWWgg1r/LWy:c9sSyzz36YaWWgg1rq</t>
  </si>
  <si>
    <t xml:space="preserve">
T13BB39CDBF24701A0C8624AF007CB4BED3E2723815F27C5E72C6A657969791CF8906F96</t>
  </si>
  <si>
    <t>ELF 32-bit LSB executable, Synopsys ARCompact ARC700 cores, version 1 (SYSV), statically linked, stripped</t>
  </si>
  <si>
    <t xml:space="preserve">
ELF Executable and Linkable format (Linux) (50.1%)  </t>
  </si>
  <si>
    <t xml:space="preserve">
ELF32   Operation system: Unix [EXEC ARC_A5-32]</t>
  </si>
  <si>
    <t>105.27 KB (107800 bytes)</t>
  </si>
  <si>
    <t>CVE-2024-7029</t>
  </si>
  <si>
    <t>https://www.cve.org/CVERecord?id=CVE-2024-7029</t>
  </si>
  <si>
    <t>Commands can be injected over the network and executed without authentication..</t>
  </si>
  <si>
    <t>2f119b78949fed3518bfe32dfc5d3f37de1c164f</t>
  </si>
  <si>
    <t xml:space="preserve">
0b625b19f44fcf0d5d279b91e1a31797e05822bcecebf5eb89f34fd54e7b943a</t>
  </si>
  <si>
    <t>https://bazaar.abuse.ch/download/
0b625b19f44fcf0d5d279b91e1a31797e05822bcecebf5eb89f34fd54e7b943a/</t>
  </si>
  <si>
    <t>https://www.virustotal.com/gui/file/0b625b19f44fcf0d5d279b91e1a31797e05822bcecebf5eb89f34fd54e7b943a/details</t>
  </si>
  <si>
    <t xml:space="preserve">
6144:dLeBqyyyyyyyyyyyyyyy3UeKBaghm1zcz8yyyyyyyyyyyyyyyZnj/RuBjrknWwxn:dLeBqyyyyyyyyyyyyyyy3UeKBaghmK8Q</t>
  </si>
  <si>
    <t xml:space="preserve">
T140643A66FC918A62C6D456BABB9E818D335717FCC2EB31039E105F64274B85B0F3BA41</t>
  </si>
  <si>
    <t xml:space="preserve">
308.41 KB (315816 bytes)</t>
  </si>
  <si>
    <t>CVE-2025-29635</t>
  </si>
  <si>
    <t>https://www.cve.org/CVERecord?id=CVE-2025-29635</t>
  </si>
  <si>
    <t>A command injection vulnerability in D-Link DIR-823X 240126 and 240802 allows an authorized attacker to execute arbitrary commands on remote devices by sending a POST request to /goform/set_prohibiting via the corresponding function, triggering remote command execution.</t>
  </si>
  <si>
    <t xml:space="preserve">
a8f0b7b152bbc81b670c3eae7171347c </t>
  </si>
  <si>
    <t xml:space="preserve">
707ca8053337ef21baa01939b979d3a192b013ec473d8d37ce05122335208dff</t>
  </si>
  <si>
    <t>https://bazaar.abuse.ch/download/
707ca8053337ef21baa01939b979d3a192b013ec473d8d37ce05122335208dff/</t>
  </si>
  <si>
    <t>56b6c723af4c943d01715c62f555c23f84351a36</t>
  </si>
  <si>
    <t xml:space="preserve">
6203f7c2020fa458e3fbb65f1eaf48198354b3cf1c49ba848c8e11e8662fc2d4</t>
  </si>
  <si>
    <t>https://bazaar.abuse.ch/download/
6203f7c2020fa458e3fbb65f1eaf48198354b3cf1c49ba848c8e11e8662fc2d4/</t>
  </si>
  <si>
    <t>https://www.virustotal.com/gui/file/6203f7c2020fa458e3fbb65f1eaf48198354b3cf1c49ba848c8e11e8662fc2d4/details</t>
  </si>
  <si>
    <t>1536:jvXzeOyllm0KfPKizrqw6agTLfKRslO8A5:jvjeOyODV6w7PROq</t>
  </si>
  <si>
    <t xml:space="preserve">
T178735CD9A8025D3CF85BE6BD94220F09E924231557D30F2BE5AAFDD36D731689E02D82</t>
  </si>
  <si>
    <t>ELF32   Operation system: Unix [EXEC 68K-32]</t>
  </si>
  <si>
    <t xml:space="preserve">
76.96 KB (78808 bytes)</t>
  </si>
  <si>
    <t xml:space="preserve">
10</t>
  </si>
  <si>
    <t>f6c1377021b5081f09331d772f82a1233adc8745</t>
  </si>
  <si>
    <t xml:space="preserve">
c60234225b600cea6fa0525a2507218454eeafd0376a9b47b755459edfc35c4f</t>
  </si>
  <si>
    <t>https://bazaar.abuse.ch/download/c60234225b600cea6fa0525a2507218454eeafd0376a9b47b755459edfc35c4f/</t>
  </si>
  <si>
    <t>https://www.virustotal.com/gui/file/c60234225b600cea6fa0525a2507218454eeafd0376a9b47b755459edfc35c4f/details</t>
  </si>
  <si>
    <t>1536:lwNn21vn1P0YAvT7C+P7V2o6Ahb0rkHP8UWj6XLw6M1HxCwU85u//5CFYcpIziIy:lFP1sYu7JPZ2oP0r+0UWj6bXMFHHq5Cv</t>
  </si>
  <si>
    <t>T15E93E896B8C28E15C5D423BBF92E00CD331267A8E2DF72129D106F2477CA92F0E7B955</t>
  </si>
  <si>
    <t xml:space="preserve">
ELF 32-bit LSB executable, ARM, EABI4 version 1 (SYSV), statically linked, stripped
</t>
  </si>
  <si>
    <t xml:space="preserve">
89.30 KB (91440 bytes)</t>
  </si>
  <si>
    <t xml:space="preserve">
ARM</t>
  </si>
  <si>
    <t>CVE-2024-14007</t>
  </si>
  <si>
    <t>https://www.cve.org/CVERecord?id=CVE-2024-14007</t>
  </si>
  <si>
    <t>Shenzhen TVT Digital Technology Co., Ltd. NVMS-9000 firmware (used by many white-labeled DVR/NVR/IPC products) versions prior to 1.3.4 contain an authentication bypass in the NVMS-9000 control protocol. By sending a single crafted TCP payload to an exposed NVMS-9000 control port, an unauthenticated remote attacker can invoke privileged administrative query commands without valid credentials.</t>
  </si>
  <si>
    <t xml:space="preserve">
1362f231fea469d8e10b7f1d296420298ad12ce4</t>
  </si>
  <si>
    <t>6ef4996c767182ee28ad87dd18f48015c6b84edb2017b12c1fc0365f7465175e</t>
  </si>
  <si>
    <t>https://bazaar.abuse.ch/download/6ef4996c767182ee28ad87dd18f48015c6b84edb2017b12c1fc0365f7465175e/</t>
  </si>
  <si>
    <t>https://www.virustotal.com/gui/file/6ef4996c767182ee28ad87dd18f48015c6b84edb2017b12c1fc0365f7465175e/details</t>
  </si>
  <si>
    <t>1536:KYHpONKUq1et03jRIpwXp/ra/SjPsIhJWsjM3wlMVjeQn:nxVJTsIXzY37eA</t>
  </si>
  <si>
    <t>T11D835C3169392A26C0D0B97E12F74758B2E21B4E25E8CA1E7D730E4FFF51A5064136F9</t>
  </si>
  <si>
    <t>ELF 32-bit MSB executable, SPARC, version 1 (SYSV), statically linked, stripped</t>
  </si>
  <si>
    <t xml:space="preserve">
78.98 KB (80880 bytes)</t>
  </si>
  <si>
    <t>CVE-2024-11120</t>
  </si>
  <si>
    <t>https://www.cve.org/CVERecord?id=CVE-2024-11120</t>
  </si>
  <si>
    <t>Certain EOL GeoVision devices have an OS Command Injection vulnerability. Unauthenticated remote attackers can exploit this vulnerability to inject and execute arbitrary system commands on the device. Moreover, this vulnerability has already been exploited by attackers, and we have received related reports.</t>
  </si>
  <si>
    <t>97dd9e460f3946eb0b89ae81a0c3890f529ed47f8bd9fd00f161cde2b5903184</t>
  </si>
  <si>
    <t>a37b27abadeccb7395798bfcddc28166ee0de0a6</t>
  </si>
  <si>
    <t>246475378c5bcd7ed7ece231827af999</t>
  </si>
  <si>
    <t xml:space="preserve"> Mirai</t>
  </si>
  <si>
    <t>https://bazaar.abuse.ch/download/97dd9e460f3946eb0b89ae81a0c3890f529ed47f8bd9fd00f161cde2b5903184/</t>
  </si>
  <si>
    <t>https://www.virustotal.com/gui/file/97dd9e460f3946eb0b89ae81a0c3890f529ed47f8bd9fd00f161cde2b5903184/details</t>
  </si>
  <si>
    <t>1536:BUbCB+q2rGo9q2nZ139na5tS37po3kjZExjD8/ferT19U:Cq+qoGo9qKxna5tG7po3kjZExjDWQ19U</t>
  </si>
  <si>
    <t>ELF 32-bit MSB executable, MIPS, MIPS-I version 1 (SYSV), statically linked, stripped</t>
  </si>
  <si>
    <t>94.45 KB (96716 bytes)</t>
  </si>
  <si>
    <t>CVE-2016-11022</t>
  </si>
  <si>
    <t>https://www.cve.org/CVERecord/SearchResults?query=MIRAI</t>
  </si>
  <si>
    <t>NETGEAR Prosafe WC9500 5.1.0.17, WC7600 5.1.0.17, and WC7520 2.5.0.35 devices allow a remote attacker to execute code with root privileges via shell metacharacters in the reqMethod parameter to login_handler.php.</t>
  </si>
  <si>
    <t>2548d997fcc8f32e2aa9605e730af81dc18a03b2108971147f0d305b845eb03f</t>
  </si>
  <si>
    <t xml:space="preserve">
9bc4b66e68f08dde32e901287e8637fd</t>
  </si>
  <si>
    <t xml:space="preserve">
feb6531b4509015a3a119f67b290175b284e9864</t>
  </si>
  <si>
    <t>https://bazaar.abuse.ch/download/2548d997fcc8f32e2aa9605e730af81dc18a03b2108971147f0d305b845eb03f/</t>
  </si>
  <si>
    <t>https://www.virustotal.com/gui/file/2548d997fcc8f32e2aa9605e730af81dc18a03b2108971147f0d305b845eb03f/details</t>
  </si>
  <si>
    <t xml:space="preserve">
1536:HTHPW4zlLfAQ7L52JBFSr2cV5tGNKgdKlOZZXTryctGJ:bPW4BLuaVzgdKlOeb</t>
  </si>
  <si>
    <t xml:space="preserve">
98.45 KB (100812 bytes)</t>
  </si>
  <si>
    <t>CVE-2017-18370</t>
  </si>
  <si>
    <t>https://www.cve.org/CVERecord?id=CVE-2017-18370</t>
  </si>
  <si>
    <t>The ZyXEL P660HN-T1A v2 TCLinux Fw #7.3.37.6 router distributed by TrueOnline has a command injection vulnerability in the Remote System Log forwarding function, which is only accessible by an authenticated user. The vulnerability is in the logSet.asp page and can be exploited through the ServerIP parameter. Authentication can be achieved by exploiting CVE-2017-18371.</t>
  </si>
  <si>
    <t>98d4cdd25423df16a7d6e821f44fb90b50a551c851c2f494cbdaab5c96693049</t>
  </si>
  <si>
    <t xml:space="preserve">
adace72b5981d7281e57847701122edd</t>
  </si>
  <si>
    <t>91caae9dc7262dde63dfcd5672d133d063fab975</t>
  </si>
  <si>
    <t>https://bazaar.abuse.ch/download/91caae9dc7262dde63dfcd5672d133d063fab975/</t>
  </si>
  <si>
    <t>https://www.virustotal.com/gui/file/98d4cdd25423df16a7d6e821f44fb90b50a551c851c2f494cbdaab5c96693049/details</t>
  </si>
  <si>
    <t xml:space="preserve">
1536:sXk3rSBZq+DXYIDOoNpyQ0tMvwrCyz1NwW:sVgkYWLpNLvwrCM</t>
  </si>
  <si>
    <t xml:space="preserve">
T11223F178A777131DD61509BC4ADEB0F42E3824126348859389D9E9EF3C86DB02B52DCF</t>
  </si>
  <si>
    <t xml:space="preserve">ELF Executable and Linkable format (Linux) (50.1%)  </t>
  </si>
  <si>
    <t xml:space="preserve">
48.09 KB (49240 bytes)</t>
  </si>
  <si>
    <t>CVE-2017-18371</t>
  </si>
  <si>
    <t>https://www.cve.org/CVERecord?id=CVE-2017-18371</t>
  </si>
  <si>
    <t>The ZyXEL P660HN-T1A v2 TCLinux Fw #7.3.37.6 router distributed by TrueOnline has three user accounts with default passwords, including two hardcoded service accounts: one with the username true and password true, and another with the username supervisor and password zyad1234. These accounts can be used to login to the web interface, exploit authenticated command injections, and change router settings for malicious purposes.</t>
  </si>
  <si>
    <t xml:space="preserve">
6a126d8e49ffb9e6a25eb5f2841a8eee4b31f71bc7b46ca25c90b4eaf61cf262</t>
  </si>
  <si>
    <t>https://www.virustotal.com/gui/file/6a126d8e49ffb9e6a25eb5f2841a8eee4b31f71bc7b46ca25c90b4eaf61cf262/details</t>
  </si>
  <si>
    <t>1536:G4Z8LUay6+vl/R1KIdysUmR9EiYHXw8d11VqkkFjDETki:B6ry6+vdGIdysUKs11VzkNDIki</t>
  </si>
  <si>
    <t>T1F473840E2E619FBCFBAD863587B34E209248339226E1D545D19CFA011E7034E746FBA9</t>
  </si>
  <si>
    <t>0x10x1</t>
  </si>
  <si>
    <t xml:space="preserve">An issue was discovered on Dasan GPON home routers. Command Injection can occur via the dest_host parameter in a diag_action=ping request to a GponForm/diag_Form URI. </t>
  </si>
  <si>
    <t>e4e81557b5b685dad0d2a1d0efbdb144</t>
  </si>
  <si>
    <t xml:space="preserve">	86e73f237c82ada006cf4b6ca824ec108c300073</t>
  </si>
  <si>
    <t xml:space="preserve">	4cec271f8750eda626f92ed92989d34df2c78a266b6480687dcc4ea469884654</t>
  </si>
  <si>
    <t>https://virusshare.com/apiv2/download?apikey=AyBZnvviVMkKJ8vOU4LJl7GmG5A0jQ75&amp;hash=	4cec271f8750eda626f92ed92989d34df2c78a266b6480687dcc4ea469884654</t>
  </si>
  <si>
    <t>https://www.virustotal.com/gui/file/4cec271f8750eda626f92ed92989d34df2c78a266b6480687dcc4ea469884654/details</t>
  </si>
  <si>
    <t xml:space="preserve">
1536:P2Vu+dSbFTBJRc4gRGUUp7gpsDuPSwteQHB1:uVu+dSbBBLgRGlpaeK</t>
  </si>
  <si>
    <t>T19B73931ABF650FF7E86FCC378AE91B45248D641A21993B7A7D34D418B24B24F49E3870</t>
  </si>
  <si>
    <t xml:space="preserve">
78.00 KB (79868 bytes)</t>
  </si>
  <si>
    <t xml:space="preserve">	9bdd01d82263d629f2dbbe523fed15fb</t>
  </si>
  <si>
    <t>https://www.virustotal.com/gui/file/4ce6368677d7771ed9c1ea338e8b23d7d0f69865781d7e0240b33a3561960202/details</t>
  </si>
  <si>
    <t>072:AciKXKdRMXAjr0d+0PNfqoNEc5frzup2QmZ0oPGGQn+n:Acz5H+ENfq7gip2QmZ0oPGGQR</t>
  </si>
  <si>
    <t xml:space="preserve">
T199B33B87631C0757C29B1AF12CA737F14FD9FA6112A222C5E40FFF901B72A741A26B59</t>
  </si>
  <si>
    <t xml:space="preserve">
ELF 32-bit MSB executable, PowerPC or cisco 4500, version 1 (SYSV), statically linked, not strip</t>
  </si>
  <si>
    <t xml:space="preserve">
t12c21e543a5fa8a2c6ff3686858bc46b11592a6237260bf70ff1ec1945d37012b475e8f</t>
  </si>
  <si>
    <t xml:space="preserve">
110.79 KB (113448 bytes)</t>
  </si>
  <si>
    <t xml:space="preserve">	2104898e7d2ec9c4234a13205ecc33605597249521d8ed8ca28638fb12628ce3</t>
  </si>
  <si>
    <t>106179b9c44d67a9433d524d84086c419b710e35</t>
  </si>
  <si>
    <t>5fde29e44aac1aa7f2c68b3754e54863</t>
  </si>
  <si>
    <t>https://virusshare.com/apiv2/download?apikey=AyBZnvviVMkKJ8vOU4LJl7GmG5A0jQ75&amp;hash=	2104898e7d2ec9c4234a13205ecc33605597249521d8ed8ca28638fb12628ce3</t>
  </si>
  <si>
    <t>https://www.virustotal.com/gui/file/2104898e7d2ec9c4234a13205ecc33605597249521d8ed8ca28638fb12628ce3/summary</t>
  </si>
  <si>
    <t>768:2/8RKd9hAC53CUVaWFwtAmC43gqaynbJfOzzK7sKfow74k7CHEoY0g0COcy:2/3dU2NakwT</t>
  </si>
  <si>
    <t>768:2/8RKd9hAC53CUVaWFwtAmC43gqaynbJfOzzK7sKfow74k7CHEoY0g0COcy:2/3dU2Nakwt</t>
  </si>
  <si>
    <t xml:space="preserve">
ELF 32-bit LSB executable, Renesas SH, version 1 (SYSV), statically linked, stripped</t>
  </si>
  <si>
    <t xml:space="preserve">
ELF32   Operation system: Unix [EXEC SH-32]</t>
  </si>
  <si>
    <t xml:space="preserve">
53.71 KB (55004 bytes)</t>
  </si>
  <si>
    <t>f8d653b98b625564acf809e376c277c0</t>
  </si>
  <si>
    <t>a001cfcd42c40a3469460abc610be4e3d3d8f618</t>
  </si>
  <si>
    <t>f77a73b044a608dbad4a9500344e2eda2a1d6a686433d42c87a5e5a665590183</t>
  </si>
  <si>
    <t>https://virusshare.com/apiv2/download?apikey=AyBZnvviVMkKJ8vOU4LJl7GmG5A0jQ75&amp;hash=f77a73b044a608dbad4a9500344e2eda2a1d6a686433d42c87a5e5a665590183</t>
  </si>
  <si>
    <t>https://www.virustotal.com/gui/file/f77a73b044a608dbad4a9500344e2eda2a1d6a686433d42c87a5e5a665590183/summary</t>
  </si>
  <si>
    <t>1536:G4Z8LUay6+vl/R1KIdysUmR9EiYHXwf1cpwaNvxjDET4:B6ry6+vdGIdysUKbcpwmvpDI4</t>
  </si>
  <si>
    <t>T1C373840E2E619FBCFBAD863587B34F209258339226E1D545D19CFA011E7034E746FBA9</t>
  </si>
  <si>
    <t xml:space="preserve">
2's complement, big endian
 </t>
  </si>
  <si>
    <t>4c6d0f432ea906a4d73123daee5e2044</t>
  </si>
  <si>
    <t>bd1b8da83c0888a3f9c44d0cf8e9f427f34ad566</t>
  </si>
  <si>
    <t>07a314811cc9af6c6f78f7b75ac4b5c77e93a0082e39a944f0dbaef88d0efc87</t>
  </si>
  <si>
    <t>https://virusshare.com/apiv2/download?apikey=AyBZnvviVMkKJ8vOU4LJl7GmG5A0jQ75&amp;hash=07a314811cc9af6c6f78f7b75ac4b5c77e93a0082e39a944f0dbaef88d0efc87</t>
  </si>
  <si>
    <t>https://www.virustotal.com/gui/file/07a314811cc9af6c6f78f7b75ac4b5c77e93a0082e39a944f0dbaef88d0efc87/summary</t>
  </si>
  <si>
    <t>1536:G4Z8LUay6+vl/R1KIdysUmR9EiYHXwHd11VqkwxjDETX:B6ry6+vdGIdysUKr11VzwpDIX</t>
  </si>
  <si>
    <t xml:space="preserve">
T16B73840E2E619FBCFBAD863587B35F209248339226E1D545D19CFA011E7034E746FBA9</t>
  </si>
  <si>
    <t>CVE-2023-7311</t>
  </si>
  <si>
    <t>https://www.cve.org/CVERecord?id=CVE-2023-7311</t>
  </si>
  <si>
    <t>BYTEVALUE Intelligent Flow Control Router contains a command injection vulnerability via the /goform/webRead/open endpoint. The `path` parameter is not properly validated and is echoed into a shell context, allowing an attacker to inject and execute arbitrary shell commands on the device. Successful exploitation can lead to writing backdoors, privilege escalation on the host, and full compromise of the router and its management functions. VulnCheck has observed this vulnerability being targeted by the RondoDox botnet campaign.</t>
  </si>
  <si>
    <t xml:space="preserve">	0426efce383e691981fd6393d88274de</t>
  </si>
  <si>
    <t xml:space="preserve">	335eaa85f3216961fe1f25ead9b770b579ed3357</t>
  </si>
  <si>
    <t>6e1bd475e253dccc60ffac1e992c9084a408ebea59684ce5e407053253ff7f6f</t>
  </si>
  <si>
    <t>https://virusshare.com/apiv2/download?apikey=AyBZnvviVMkKJ8vOU4LJl7GmG5A0jQ75&amp;hash=6e1bd475e253dccc60ffac1e992c9084a408ebea59684ce5e407053253ff7f6f</t>
  </si>
  <si>
    <t>https://www.virustotal.com/gui/file/6e1bd475e253dccc60ffac1e992c9084a408ebea59684ce5e407053253ff7f6f/summary</t>
  </si>
  <si>
    <t>1536:mMRIlC4HPtuwWaA5vP9dfFieAEe2STW08ObyuRHpuNPk7Xe6xk6A:FulXPtuwPsvfFieALz8ObyqHe4dA</t>
  </si>
  <si>
    <t xml:space="preserve">
T13873954E7E359FBCFBAC863487B79E20924833D626E1C544D15CEA015EB024E741FBA9</t>
  </si>
  <si>
    <t>75.46 KB (77272 bytes)</t>
  </si>
  <si>
    <t>CVE-2023-6574</t>
  </si>
  <si>
    <t>https://www.cve.org/CVERecord?id=CVE-2023-6574</t>
  </si>
  <si>
    <t>A vulnerability was found in Byzoro Smart S20 up to 20231120 and classified as critical. Affected by this issue is some unknown functionality of the file /sysmanage/updateos.php of the component HTTP POST Request Handler. The manipulation of the argument 1_file_upload leads to unrestricted upload. The attack may be launched remotely. The exploit has been disclosed to the public and may be used. VDB-247154 is the identifier assigned to this vulnerability. NOTE: The vendor was contacted early about this disclosure but did not respond in any way.</t>
  </si>
  <si>
    <t>62b606b8af8eda9832827587478718b110667f5a</t>
  </si>
  <si>
    <t xml:space="preserve">
3072:V1gMeCpm/ReXloMChrs4BXgyLfFZ+EL9OLpcTeBlQg2z0mVcLnQSPLFlRB+HATs:wEY26bkpxQgVmVcLnQSPLFlRB+HATs</t>
  </si>
  <si>
    <t>T18514180BB5D189FFC4935BB42ADFA4619C33FC390B26A1067395FE592F3DD889909290</t>
  </si>
  <si>
    <t xml:space="preserve">
ELF64   Operation system: Unix [EXEC AMD64-64] </t>
  </si>
  <si>
    <t xml:space="preserve">
199.43 KB (204218 bytes)</t>
  </si>
  <si>
    <t xml:space="preserve">	beaf1832778557b48cc74d56e0708e36</t>
  </si>
  <si>
    <t>CVE-2021-27137</t>
  </si>
  <si>
    <t>https://www.cve.org/CVERecord?id=CVE-2021-27137</t>
  </si>
  <si>
    <t>This candidate has been reserved by a CVE Numbering Authority (CNA). This record will be updated by the assigning CNA once details are available. Learn more about the Reserved state here.</t>
  </si>
  <si>
    <t xml:space="preserve">	e64577909dd42822d081bd63bc4af868</t>
  </si>
  <si>
    <t xml:space="preserve">	05af3f54e46fb869e9ab13b9bb19c458691f7dbc</t>
  </si>
  <si>
    <t>db7613ef41e4e3f6900edbd1c5b58b37ef642a9b3df18216fb6032757ca2049a</t>
  </si>
  <si>
    <t>https://virusshare.com/apiv2/download?apikey=AyBZnvviVMkKJ8vOU4LJl7GmG5A0jQ75&amp;hash=db7613ef41e4e3f6900edbd1c5b58b37ef642a9b3df18216fb6032757ca2049a</t>
  </si>
  <si>
    <t>https://www.virustotal.com/gui/file/db7613ef41e4e3f6900edbd1c5b58b37ef642a9b3df18216fb6032757ca2049a</t>
  </si>
  <si>
    <t xml:space="preserve">
1536:RAmGt1EamKADliEll/6rcQmWIBnKScHVcQtQ8y:eNAUEOrmTN+cOw</t>
  </si>
  <si>
    <t>T126436DD5B400DE7CF94BDBBA81120A09FA35726154A30F2BA267FD936C720965C1FD47</t>
  </si>
  <si>
    <t>a26c47531f2f2f0c56f54ff7e8f03ec1</t>
  </si>
  <si>
    <t xml:space="preserve">	9c95bdfa5e82ec68b8b816162e27ea46d6e00442</t>
  </si>
  <si>
    <t xml:space="preserve">	c7674e916dee806a090ce9a0c08016f942af4e082f44b223ec99b8a299c039f2</t>
  </si>
  <si>
    <t>https://virusshare.com/apiv2/download?apikey=AyBZnvviVMkKJ8vOU4LJl7GmG5A0jQ75&amp;hash=	c7674e916dee806a090ce9a0c08016f942af4e082f44b223ec99b8a299c039f2</t>
  </si>
  <si>
    <t>https://www.virustotal.com/gui/file/c7674e916dee806a090ce9a0c08016f942af4e082f44b223ec99b8a299c039f2</t>
  </si>
  <si>
    <t xml:space="preserve">
768:47qtsAOUAoMq9reCYJr4ukj8J4JGCgY+dVU5mp5ti0KcSGO+h9sBF40:wqtsGAZSreC84Bj8J4JXgY+dVhcEhI</t>
  </si>
  <si>
    <t>T16B533921A9792A17C0E9F57B21F78324B2F5670E24A8C76E7D320F8EFF1854065076B6</t>
  </si>
  <si>
    <t xml:space="preserve">
ELF32   Operation system: Unix [EXEC SPARC-32]</t>
  </si>
  <si>
    <t xml:space="preserve">
61.02 KB (62484 bytes)</t>
  </si>
  <si>
    <t>Sparc</t>
  </si>
  <si>
    <t xml:space="preserve">	a1c84ae023c742be66419e5aaa1a4571aa4d81d74bca58cbcbe1bdc1ad157cb5</t>
  </si>
  <si>
    <t>https://virusshare.com/apiv2/download?apikey=AyBZnvviVMkKJ8vOU4LJl7GmG5A0jQ75&amp;hash=a1c84ae023c742be66419e5aaa1a4571aa4d81d74bca58cbcbe1bdc1ad157cb5</t>
  </si>
  <si>
    <t>T15C334B42322C0A43D1A26FF0652B17E193AEEDE121F8F189660FCB564275E33158AEDD</t>
  </si>
  <si>
    <t>ELF32   Operation system: Unix [EXEC PPC-32]</t>
  </si>
  <si>
    <t>https://www.cve.org/CVERecord?id=CVE-2016-11022</t>
  </si>
  <si>
    <t>ELF 64-bit LSB executable, x86-64, version 1 (SYSV), statically linked, not stripped</t>
  </si>
  <si>
    <t>74.58 KB (76370 bytes)</t>
  </si>
  <si>
    <t>a1d79b151fa5fbf0dc28c37bab50d58e</t>
  </si>
  <si>
    <t xml:space="preserve">	274d8130fd1c69d2181eaa082c2b3c1fa3ed453f</t>
  </si>
  <si>
    <t>d8271d16880859851013aa76c7487cc7a85d312b51f76c56cfc719ad0b36d4bf</t>
  </si>
  <si>
    <t>https://virusshare.com/apiv2/download?apikey=AyBZnvviVMkKJ8vOU4LJl7GmG5A0jQ75&amp;hash=d8271d16880859851013aa76c7487cc7a85d312b51f76c56cfc719ad0b36d4bf</t>
  </si>
  <si>
    <t>VirusTotal - File - d8271d16880859851013aa76c7487cc7a85d312b51f76c56cfc719ad0b36d4bf</t>
  </si>
  <si>
    <t xml:space="preserve">
768:8et1QnQmyYvb26bB0ZiRfFlAPlLx2qCLqLsGM7CuNyTK53rY3Xbt5AIs4spJpZEC:8DyCbB04aPBx1aGGzqK53r4Tsnp/</t>
  </si>
  <si>
    <t>T11A435A0233180A47E1525FF4393F27E083EEE9A121F4F589664FDA468276E37158AED9</t>
  </si>
  <si>
    <t xml:space="preserve">
56.92 KB (58284 bytes)</t>
  </si>
  <si>
    <t xml:space="preserve">	d89fdc3e1a4cfcb18a02adb6709afc87</t>
  </si>
  <si>
    <t xml:space="preserve">	f7611a7107662e8b54c5cb93197ee6774c4ee58c</t>
  </si>
  <si>
    <t>d824058d201ab749ee9ca0968bf37e9e1cde38de339672a83e74090752a0892a</t>
  </si>
  <si>
    <t>https://virusshare.com/apiv2/download?apikey=AyBZnvviVMkKJ8vOU4LJl7GmG5A0jQ75&amp;hash=d824058d201ab749ee9ca0968bf37e9e1cde38de339672a83e74090752a0892a</t>
  </si>
  <si>
    <t>https://www.virustotal.com/gui/file/d824058d201ab749ee9ca0968bf37e9e1cde38de339672a83e74090752a0892a</t>
  </si>
  <si>
    <t xml:space="preserve">
1536:G4Z8LUay6+vl/R1KIdysUmR9EiYHXwL6ux6FesTaxjDETB:B6ry6+vdGIdysUK56o6FeWapDIB</t>
  </si>
  <si>
    <t xml:space="preserve">
T1BA73840E2E619FBCFBAD863587B35F209248339226E1D545D19CFA011E7034E746FBA9</t>
  </si>
  <si>
    <t>044f71563bc3ea937dc36db15b40a781</t>
  </si>
  <si>
    <t>6db2a8b5d5274a406724d17df7a7d1b5e55d3aa74803a4d4f95aa04f69bf6da7</t>
  </si>
  <si>
    <t>https://virusshare.com/apiv2/download?apikey=AyBZnvviVMkKJ8vOU4LJl7GmG5A0jQ75&amp;hash=6db2a8b5d5274a406724d17df7a7d1b5e55d3aa74803a4d4f95aa04f69bf6da7</t>
  </si>
  <si>
    <t>6144:bXMyj7sHLO/dXWN/x41U473mk8rLaIYXjR1uwrfvG:DVj7sGmNW3mk8rLaIYXjR1uwrfvG</t>
  </si>
  <si>
    <t>T1F134B40A6BA18EF7C89FCD3702E6850110CDE84622A97B2B7274E61CFB5E94F45D3D54</t>
  </si>
  <si>
    <t>ELF 32-bit LSB executable, MIPS, MIPS-I version 1 (SYSV), statically linked, not stripped</t>
  </si>
  <si>
    <t xml:space="preserve">CVE-2016-6277 </t>
  </si>
  <si>
    <t>https://www.cve.org/CVERecord?id=CVE-2016-6277</t>
  </si>
  <si>
    <t>NETGEAR R6250 before 1.0.4.6.Beta, R6400 before 1.0.1.18.Beta, R6700 before 1.0.1.14.Beta, R6900, R7000 before 1.0.7.6.Beta, R7100LG before 1.0.0.28.Beta, R7300DST before 1.0.0.46.Beta, R7900 before 1.0.1.8.Beta, R8000 before 1.0.3.26.Beta, D6220, D6400, D7000, and possibly other routers allow remote attackers to execute arbitrary commands via shell metacharacters in the path info to cgi-bin/.</t>
  </si>
  <si>
    <t xml:space="preserve">	5464f8199908bd21536e71c1717dc5e6</t>
  </si>
  <si>
    <t>1c891958c6a7cdc80d0b62c59a511fd7feb2a8b4</t>
  </si>
  <si>
    <t>a13d5a3c879cbe24378b88c7b93f94dc07fcf37222d53146bd0fb39cb5bd0ef9</t>
  </si>
  <si>
    <t>https://virusshare.com/apiv2/download?apikey=AyBZnvviVMkKJ8vOU4LJl7GmG5A0jQ75&amp;hash=a13d5a3c879cbe24378b88c7b93f94dc07fcf37222d53146bd0fb39cb5bd0ef9</t>
  </si>
  <si>
    <t>VirusTotal - File - a13d5a3c879cbe24378b88c7b93f94dc07fcf37222d53146bd0fb39cb5bd0ef9</t>
  </si>
  <si>
    <t>1536:8p4uw66yastO49zyje4MkJLwDnOD8J52rf3BstzWT/O/sjw2U59RLZ5:8pV6R+x9zyje4MkJLwDnOD8mrfRSzO/w</t>
  </si>
  <si>
    <t xml:space="preserve">
ELF32   Operation system: Unix [EXEC 386-32]</t>
  </si>
  <si>
    <t>CVE-2018-20062</t>
  </si>
  <si>
    <t>https://www.cve.org/CVERecord?id=CVE-2018-20062</t>
  </si>
  <si>
    <t>An issue was discovered in NoneCms V1.3. thinkphp/library/think/App.php allows remote attackers to execute arbitrary PHP code via crafted use of the filter parameter, as demonstrated by the s=index/\think\Request/input&amp;filter=phpinfo&amp;data=1 query string.</t>
  </si>
  <si>
    <t>233f91637b9ddc32ff6a0e3092b04a5e</t>
  </si>
  <si>
    <t>a13bef921c6ceb3a977fa24de6270ab4eb9c340938f0674f37f4a249a613351a</t>
  </si>
  <si>
    <t>https://virusshare.com/apiv2/download?apikey=AyBZnvviVMkKJ8vOU4LJl7GmG5A0jQ75&amp;hash=a13bef921c6ceb3a977fa24de6270ab4eb9c340938f0674f37f4a249a613351a</t>
  </si>
  <si>
    <t>1536:bquvdjii2M359rbmNPUBkAiAKJp0rrvCOL7oCxceIHUJa:2uI8jbkHJgvCMo2cP</t>
  </si>
  <si>
    <t>80.90 KB (82844 bytes)</t>
  </si>
  <si>
    <t xml:space="preserve">
DESCONOCIDO</t>
  </si>
  <si>
    <t xml:space="preserve">DESCONOCIDO
</t>
  </si>
  <si>
    <t>1a45964901923bd6be49a2c2f361e6fc</t>
  </si>
  <si>
    <t>87b7f4b9410ae1b23494b2293b3144577d51ec51</t>
  </si>
  <si>
    <t>7052c171f4e7b922c63d810ee3b577d4c52661faf5db1200c1e51aa9f07ccabb</t>
  </si>
  <si>
    <t>https://virusshare.com/apiv2/download?apikey=AyBZnvviVMkKJ8vOU4LJl7GmG5A0jQ75&amp;hash=7052c171f4e7b922c63d810ee3b577d4c52661faf5db1200c1e51aa9f07ccabb</t>
  </si>
  <si>
    <t>https://www.virustotal.com/gui/file/7052c171f4e7b922c63d810ee3b577d4c52661faf5db1200c1e51aa9f07ccabb</t>
  </si>
  <si>
    <t>768:E2AtFP96vX+qg88oE2KchM5yRnFtg31j0pKrxbqDMeWCuoAoa/g3jv3M3tZAIs44:EiGqcchM4a3JLLeWTdD43jwjsjJ3</t>
  </si>
  <si>
    <t xml:space="preserve">
T185435B0273180E47E1625FF4293F27F083EEE99120F4F588664FDB568275E33258AE99</t>
  </si>
  <si>
    <t>CVE-2017-5638</t>
  </si>
  <si>
    <t>https://www.cve.org/CVERecord?id=CVE-2017-5638</t>
  </si>
  <si>
    <t>The Jakarta Multipart parser in Apache Struts 2 2.3.x before 2.3.32 and 2.5.x before 2.5.10.1 has incorrect exception handling and error-message generation during file-upload attempts, which allows remote attackers to execute arbitrary commands via a crafted Content-Type, Content-Disposition, or Content-Length HTTP header, as exploited in the wild in March 2017 with a Content-Type header containing a #cmd= string.</t>
  </si>
  <si>
    <t>https://www.virustotal.com/gui/file/6e1bd475e253dccc60ffac1e992c9084a408ebea59684ce5e407053253ff7f6f</t>
  </si>
  <si>
    <t xml:space="preserve">
1536:mMRIlC4HPtuwWaA5vP9dfFieAEe2STW08ObyuRHpuNPk7Xe6xk6A:FulXPtuwPsvfFieALz8ObyqHe4dA</t>
  </si>
  <si>
    <t xml:space="preserve">
75.46 KB (77272 bytes)</t>
  </si>
  <si>
    <t>CVE-2020-10987</t>
  </si>
  <si>
    <t>https://www.cve.org/CVERecord?id=CVE-2020-10987</t>
  </si>
  <si>
    <t xml:space="preserve">The goform/setUsbUnload endpoint of Tenda AC15 AC1900 version 15.03.05.19 allows remote attackers to execute arbitrary system commands via the deviceName POST parameter.
</t>
  </si>
  <si>
    <t xml:space="preserve">	bd1b8da83c0888a3f9c44d0cf8e9f427f34ad566</t>
  </si>
  <si>
    <t>https://www.virustotal.com/gui/file/07a314811cc9af6c6f78f7b75ac4b5c77e93a0082e39a944f0dbaef88d0efc87</t>
  </si>
  <si>
    <t xml:space="preserve">
1536:G4Z8LUay6+vl/R1KIdysUmR9EiYHXwHd11VqkwxjDETX:B6ry6+vdGIdysUKr11VzwpDIX</t>
  </si>
  <si>
    <t>CVE-2020-25506</t>
  </si>
  <si>
    <t>https://www.cve.org/CVERecord?id=CVE-2020-25506</t>
  </si>
  <si>
    <t xml:space="preserve">D-Link DNS-320 FW v2.06B01 Revision Ax is affected by command injection in the system_mgr.cgi component, which can lead to remote arbitrary code execution.
</t>
  </si>
  <si>
    <t>https://www.virustotal.com/gui/file/f77a73b044a608dbad4a9500344e2eda2a1d6a686433d42c87a5e5a665590183</t>
  </si>
  <si>
    <t>CVE-2019-16920</t>
  </si>
  <si>
    <t>https://www.cve.org/CVERecord?id=CVE-2019-16920</t>
  </si>
  <si>
    <t>Unauthenticated remote code execution occurs in D-Link products such as DIR-655C, DIR-866L, DIR-652, and DHP-1565. The issue occurs when the attacker sends an arbitrary input to a "PingTest" device common gateway interface that could lead to common injection. An attacker who successfully triggers the command injection could achieve full system compromise. Later, it was independently found that these are also affected: DIR-855L, DAP-1533, DIR-862L, DIR-615, DIR-835, and DIR-825.</t>
  </si>
  <si>
    <t>2104898e7d2ec9c4234a13205ecc33605597249521d8ed8ca28638fb12628ce3</t>
  </si>
  <si>
    <t>https://virusshare.com/apiv2/download?apikey=AyBZnvviVMkKJ8vOU4LJl7GmG5A0jQ75&amp;hash=2104898e7d2ec9c4234a13205ecc33605597249521d8ed8ca28638fb12628ce3</t>
  </si>
  <si>
    <t>https://www.virustotal.com/gui/file/2104898e7d2ec9c4234a13205ecc33605597249521d8ed8ca28638fb12628ce3</t>
  </si>
  <si>
    <t>768:2/8RKd9hAC53CUVaWFwtAmC43gqaynbJfOzzK7sKfow74k7CHEoY0g0COcy:2/3dU2NakwtAbAnUzuQaok7cZg0CO</t>
  </si>
  <si>
    <t xml:space="preserve">
T1B0338E63C42EBDD4D25982B87A204A386B53E40196933EF5D75A8AB38047FDCF50A3F5</t>
  </si>
  <si>
    <t>CVE-2023-49897</t>
  </si>
  <si>
    <t>https://www.cve.org/CVERecord?id=CVE-2023-49897</t>
  </si>
  <si>
    <t>An OS command injection vulnerability exists in AE1021PE firmware version 2.0.9 and earlier and AE1021 firmware version 2.0.9 and earlier. If this vulnerability is exploited, an arbitrary OS command may be executed by an attacker who can log in to the product.</t>
  </si>
  <si>
    <t>33877494f17bbb0e785c601da0eeee89</t>
  </si>
  <si>
    <t>067b5a3006c50545a9d2fe02d9e33d67eb2410a6</t>
  </si>
  <si>
    <t>25160398f59901a8ecc38d178b90ef83edf040314a08a529c8eb87c093391f97</t>
  </si>
  <si>
    <t>https://bazaar.abuse.ch/download/25160398f59901a8ecc38d178b90ef83edf040314a08a529c8eb87c093391f97/</t>
  </si>
  <si>
    <t>https://www.virustotal.com/gui/file/25160398f59901a8ecc38d178b90ef83edf040314a08a529c8eb87c093391f97</t>
  </si>
  <si>
    <t xml:space="preserve">
1536:qPISTo+4L3Ck+/rjQ1FyfS+Gg2UCzQlSCjGXLeBigS7yknPfTRDhlPmMUAkoSc:q34Lpksg2UCklSCjcqigSlNLPmMU1oSc</t>
  </si>
  <si>
    <t xml:space="preserve">
T1F60489196E228F7EF668873147B74925A76C23DA27E1D644D2ACC1106F2039E641FFEC</t>
  </si>
  <si>
    <t xml:space="preserve">
ELF Executable and Linkable format (generic) (100%)+N100:O100</t>
  </si>
  <si>
    <t xml:space="preserve">
169.68 KB (173752 bytes)</t>
  </si>
  <si>
    <t>43d87dd36020d84cfb22d929734c9dba</t>
  </si>
  <si>
    <t>a73c25f1e9ebaa0fae9bc94d49e1b5aa0a46a2c4</t>
  </si>
  <si>
    <t>44e217d312d0eca25c3d939d8597ef6952f4c1ea429a6c39470993dabf97238b</t>
  </si>
  <si>
    <t>https://bazaar.abuse.ch/download/44e217d312d0eca25c3d939d8597ef6952f4c1ea429a6c39470993dabf97238b</t>
  </si>
  <si>
    <t>https://www.virustotal.com/gui/file/44e217d312d0eca25c3d939d8597ef6952f4c1ea429a6c39470993dabf97238b</t>
  </si>
  <si>
    <t>1536:aCVqyR/F4uZnZPmy2CwCICWCElKg8yPi5df08enlWp2kWiQbDUz/:aCVp94uD52bCI/CEsgudfEnlWkkWuz/</t>
  </si>
  <si>
    <t xml:space="preserve">
T1AEB35B77C8266F58D268D1B4B0B18FB92B63A915814B0FBE1AA7C2B54043DCCF6053F8</t>
  </si>
  <si>
    <t>ELF 32-bit LSB executable, Renesas SH, version 1 (SYSV), statically linked, stripped</t>
  </si>
  <si>
    <t xml:space="preserve">
114.81 KB (117568 bytes)</t>
  </si>
  <si>
    <t>11</t>
  </si>
  <si>
    <t>fb9a5adfee2337ce84a1ea1a7adba8e8</t>
  </si>
  <si>
    <t>1e470bb0d5f2325cf95bb0d841290b0ba68583c1</t>
  </si>
  <si>
    <t>4ce2ad32a5f4cd83e8fd6f74a886276ecb5fe74fbdc66abf9bbf7d9973870335</t>
  </si>
  <si>
    <t>https://bazaar.abuse.ch/download/4ce2ad32a5f4cd83e8fd6f74a886276ecb5fe74fbdc66abf9bbf7d9973870335/</t>
  </si>
  <si>
    <t>https://www.virustotal.com/gui/file/4ce2ad32a5f4cd83e8fd6f74a886276ecb5fe74fbdc66abf9bbf7d9973870335</t>
  </si>
  <si>
    <t xml:space="preserve">
1536:GnHkHRxHBFPSWGzIGWlGy5TGpWE7wH9OXEL9qj:mHkHvBFVGzIKytJE7wwXEcj</t>
  </si>
  <si>
    <t>T149631B07BA428BAFC14FC1F407F76A399922BDBE0A36F1E5E3A4FD865901CD05A1D614</t>
  </si>
  <si>
    <t xml:space="preserve">
ELF64   Operation system: Unix [EXEC AMD64-64]   Compiler: gcc ((GNU) 4.1.2) [EXEC AMD64-64]</t>
  </si>
  <si>
    <t xml:space="preserve">
67.99 KB (69624 bytes)</t>
  </si>
  <si>
    <t>13</t>
  </si>
  <si>
    <t xml:space="preserve">A vulnerability was found in Byzoro Smart S20 up to 20231120 and classified as critical. Affected by this issue is some unknown functionality of the file /sysmanage/updateos.php of the component HTTP POST Request Handler. The manipulation of the argument 1_file_upload leads to unrestricted upload. The attack may be launched remotely. The exploit has been disclosed to the public and may be used.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</si>
</sst>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0"/>
      <color rgb="FFFFFFFF"/>
      <name val="Arial"/>
      <family val="2"/>
    </font>
    <font>
      <sz val="9"/>
      <color rgb="FF000000"/>
      <name val="Arial"/>
      <family val="2"/>
    </font>
    <font>
      <sz val="9"/>
      <color rgb="FF0563C1"/>
      <name val="Arial"/>
      <family val="2"/>
    </font>
    <font>
      <b/>
      <sz val="9"/>
      <name val="Arial"/>
      <family val="2"/>
    </font>
    <font>
      <b/>
      <sz val="11"/>
      <color theme="1"/>
      <name val="Calibri"/>
      <family val="2"/>
      <scheme val="minor"/>
    </font>
    <font>
      <u/>
      <sz val="11"/>
      <color theme="10"/>
      <name val="Calibri"/>
      <family val="2"/>
      <scheme val="minor"/>
    </font>
    <font>
      <sz val="11"/>
      <color theme="2"/>
      <name val="Calibri"/>
      <family val="2"/>
      <scheme val="minor"/>
    </font>
    <font>
      <b/>
      <sz val="11"/>
      <color theme="2"/>
      <name val="Arial"/>
      <family val="2"/>
    </font>
    <font>
      <sz val="8"/>
      <name val="Calibri"/>
      <family val="2"/>
      <scheme val="minor"/>
    </font>
    <font>
      <sz val="8"/>
      <name val="Source Sans Pro"/>
      <family val="2"/>
    </font>
    <font>
      <sz val="9"/>
      <name val="Arial"/>
      <family val="2"/>
    </font>
    <font>
      <u/>
      <sz val="11"/>
      <name val="Arial"/>
      <family val="2"/>
    </font>
    <font>
      <sz val="11"/>
      <name val="Arial"/>
      <family val="2"/>
    </font>
    <font>
      <sz val="11"/>
      <name val="Source Sans Pro"/>
      <family val="2"/>
    </font>
    <font>
      <sz val="10"/>
      <color rgb="FF212529"/>
      <name val="Segoe UI"/>
      <family val="2"/>
    </font>
    <font>
      <u/>
      <sz val="10"/>
      <color theme="10"/>
      <name val="Times New Roman"/>
      <family val="1"/>
    </font>
  </fonts>
  <fills count="7">
    <fill>
      <patternFill patternType="none"/>
    </fill>
    <fill>
      <patternFill patternType="gray125"/>
    </fill>
    <fill>
      <patternFill patternType="solid">
        <fgColor rgb="FF1A3A5C"/>
      </patternFill>
    </fill>
    <fill>
      <patternFill patternType="solid">
        <fgColor rgb="FFEBF2FA"/>
      </patternFill>
    </fill>
    <fill>
      <patternFill patternType="solid">
        <fgColor rgb="FFFFFFFF"/>
      </patternFill>
    </fill>
    <fill>
      <patternFill patternType="solid">
        <fgColor theme="0"/>
        <bgColor indexed="64"/>
      </patternFill>
    </fill>
    <fill>
      <patternFill patternType="solid">
        <fgColor theme="3" tint="-0.249977111117893"/>
        <bgColor indexed="64"/>
      </patternFill>
    </fill>
  </fills>
  <borders count="3">
    <border>
      <left/>
      <right/>
      <top/>
      <bottom/>
      <diagonal/>
    </border>
    <border>
      <left style="thin">
        <color rgb="FFBBBBBB"/>
      </left>
      <right style="thin">
        <color rgb="FFBBBBBB"/>
      </right>
      <top style="thin">
        <color rgb="FFBBBBBB"/>
      </top>
      <bottom style="thin">
        <color rgb="FFBBBBBB"/>
      </bottom>
      <diagonal/>
    </border>
    <border>
      <left/>
      <right/>
      <top/>
      <bottom style="thin">
        <color rgb="FFBBBBBB"/>
      </bottom>
      <diagonal/>
    </border>
  </borders>
  <cellStyleXfs count="2">
    <xf numFmtId="0" fontId="0" fillId="0" borderId="0"/>
    <xf numFmtId="0" fontId="6" fillId="0" borderId="0" applyNumberFormat="0" applyFill="0" applyBorder="0" applyAlignment="0" applyProtection="0"/>
  </cellStyleXfs>
  <cellXfs count="43">
    <xf numFmtId="0" fontId="0" fillId="0" borderId="0" xfId="0"/>
    <xf numFmtId="0" fontId="1" fillId="2" borderId="1" xfId="0" applyFont="1" applyFill="1" applyBorder="1" applyAlignment="1">
      <alignment horizontal="center" vertical="center" wrapText="1"/>
    </xf>
    <xf numFmtId="0" fontId="4" fillId="3" borderId="0" xfId="0" applyFont="1" applyFill="1" applyAlignment="1">
      <alignment horizontal="center" vertical="center"/>
    </xf>
    <xf numFmtId="0" fontId="2" fillId="3" borderId="1" xfId="0" applyFont="1" applyFill="1" applyBorder="1" applyAlignment="1">
      <alignment horizontal="left"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2" fillId="4" borderId="1" xfId="0" applyFont="1" applyFill="1" applyBorder="1" applyAlignment="1">
      <alignment horizontal="center" vertical="center" wrapText="1"/>
    </xf>
    <xf numFmtId="11" fontId="2" fillId="5" borderId="1" xfId="0" applyNumberFormat="1" applyFont="1" applyFill="1" applyBorder="1" applyAlignment="1">
      <alignment horizontal="left" vertical="center" wrapText="1"/>
    </xf>
    <xf numFmtId="0" fontId="2" fillId="5" borderId="1" xfId="0" applyFont="1" applyFill="1" applyBorder="1" applyAlignment="1">
      <alignment horizontal="center" vertical="center" wrapText="1"/>
    </xf>
    <xf numFmtId="0" fontId="6" fillId="5" borderId="1" xfId="1" applyFill="1" applyBorder="1" applyAlignment="1">
      <alignment horizontal="left" vertical="center" wrapText="1"/>
    </xf>
    <xf numFmtId="0" fontId="2" fillId="5"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10" fontId="1" fillId="2" borderId="1" xfId="0" applyNumberFormat="1" applyFont="1" applyFill="1" applyBorder="1" applyAlignment="1">
      <alignment horizontal="center" vertical="center" wrapText="1"/>
    </xf>
    <xf numFmtId="0" fontId="0" fillId="0" borderId="0" xfId="0" applyAlignment="1">
      <alignment horizontal="center" vertical="center"/>
    </xf>
    <xf numFmtId="10" fontId="6" fillId="5" borderId="1" xfId="1" applyNumberFormat="1" applyFill="1" applyBorder="1" applyAlignment="1">
      <alignment horizontal="center" vertical="center" wrapText="1"/>
    </xf>
    <xf numFmtId="10" fontId="3" fillId="5" borderId="1" xfId="0" applyNumberFormat="1" applyFont="1" applyFill="1" applyBorder="1" applyAlignment="1">
      <alignment horizontal="center" vertical="center" wrapText="1"/>
    </xf>
    <xf numFmtId="10" fontId="0" fillId="0" borderId="0" xfId="0" applyNumberFormat="1" applyAlignment="1">
      <alignment horizontal="center" vertical="center"/>
    </xf>
    <xf numFmtId="10" fontId="7" fillId="5" borderId="0" xfId="0" applyNumberFormat="1" applyFont="1" applyFill="1" applyAlignment="1">
      <alignment horizontal="center" vertical="center"/>
    </xf>
    <xf numFmtId="49" fontId="1" fillId="2" borderId="1" xfId="0" applyNumberFormat="1" applyFont="1" applyFill="1" applyBorder="1" applyAlignment="1">
      <alignment horizontal="center" vertical="center" wrapText="1"/>
    </xf>
    <xf numFmtId="49" fontId="0" fillId="0" borderId="0" xfId="0" applyNumberFormat="1" applyAlignment="1">
      <alignment horizontal="center" vertical="center"/>
    </xf>
    <xf numFmtId="49" fontId="11" fillId="5" borderId="1" xfId="0" applyNumberFormat="1" applyFont="1" applyFill="1" applyBorder="1" applyAlignment="1">
      <alignment horizontal="center" vertical="center" wrapText="1"/>
    </xf>
    <xf numFmtId="10" fontId="11" fillId="5" borderId="1" xfId="0" applyNumberFormat="1" applyFont="1" applyFill="1" applyBorder="1" applyAlignment="1">
      <alignment horizontal="center" vertical="center" wrapText="1"/>
    </xf>
    <xf numFmtId="49" fontId="12" fillId="5" borderId="1" xfId="1" applyNumberFormat="1" applyFont="1" applyFill="1" applyBorder="1" applyAlignment="1">
      <alignment horizontal="center" vertical="center" wrapText="1"/>
    </xf>
    <xf numFmtId="10" fontId="12" fillId="5" borderId="1" xfId="1" applyNumberFormat="1" applyFont="1" applyFill="1" applyBorder="1" applyAlignment="1">
      <alignment horizontal="center" vertical="center" wrapText="1"/>
    </xf>
    <xf numFmtId="10" fontId="2" fillId="5" borderId="1" xfId="0" applyNumberFormat="1" applyFont="1" applyFill="1" applyBorder="1" applyAlignment="1">
      <alignment horizontal="left" vertical="center" wrapText="1"/>
    </xf>
    <xf numFmtId="0" fontId="8" fillId="6" borderId="2" xfId="0" applyFont="1" applyFill="1" applyBorder="1" applyAlignment="1">
      <alignment horizontal="center"/>
    </xf>
    <xf numFmtId="49" fontId="8" fillId="6" borderId="2" xfId="0" applyNumberFormat="1" applyFont="1" applyFill="1" applyBorder="1" applyAlignment="1">
      <alignment horizontal="center" vertical="center"/>
    </xf>
    <xf numFmtId="0" fontId="4" fillId="5" borderId="0" xfId="0" applyFont="1" applyFill="1" applyAlignment="1">
      <alignment horizontal="center" vertical="center"/>
    </xf>
    <xf numFmtId="0" fontId="6" fillId="5" borderId="0" xfId="1" applyFill="1"/>
    <xf numFmtId="0" fontId="13" fillId="5" borderId="0" xfId="0" applyFont="1" applyFill="1" applyAlignment="1">
      <alignment horizontal="center" vertical="center" wrapText="1"/>
    </xf>
    <xf numFmtId="0" fontId="13" fillId="5" borderId="0" xfId="0" applyFont="1" applyFill="1" applyAlignment="1">
      <alignment horizontal="center" vertical="center"/>
    </xf>
    <xf numFmtId="0" fontId="14" fillId="5" borderId="0" xfId="0" applyFont="1" applyFill="1" applyAlignment="1">
      <alignment horizontal="center" vertical="center"/>
    </xf>
    <xf numFmtId="11" fontId="2" fillId="5" borderId="1" xfId="0" applyNumberFormat="1" applyFont="1" applyFill="1" applyBorder="1" applyAlignment="1">
      <alignment horizontal="center" vertical="center" wrapText="1"/>
    </xf>
    <xf numFmtId="0" fontId="10" fillId="5" borderId="0" xfId="0" applyFont="1" applyFill="1" applyAlignment="1">
      <alignment horizontal="center" vertical="center"/>
    </xf>
    <xf numFmtId="0" fontId="0" fillId="5" borderId="0" xfId="0" applyFill="1" applyAlignment="1">
      <alignment wrapText="1"/>
    </xf>
    <xf numFmtId="0" fontId="10" fillId="5" borderId="0" xfId="0" applyFont="1" applyFill="1" applyAlignment="1">
      <alignment vertical="center"/>
    </xf>
    <xf numFmtId="0" fontId="10" fillId="5" borderId="0" xfId="0" applyFont="1" applyFill="1"/>
    <xf numFmtId="0" fontId="15" fillId="5" borderId="0" xfId="0" applyFont="1" applyFill="1"/>
    <xf numFmtId="0" fontId="0" fillId="5" borderId="0" xfId="0" applyFill="1"/>
    <xf numFmtId="0" fontId="11" fillId="5" borderId="1" xfId="0" applyFont="1" applyFill="1" applyBorder="1" applyAlignment="1">
      <alignment horizontal="center" vertical="center" wrapText="1"/>
    </xf>
    <xf numFmtId="0" fontId="5" fillId="5" borderId="0" xfId="0" applyFont="1" applyFill="1"/>
    <xf numFmtId="0" fontId="10" fillId="5" borderId="0" xfId="0" applyFont="1" applyFill="1" applyAlignment="1">
      <alignment wrapText="1"/>
    </xf>
    <xf numFmtId="0" fontId="16" fillId="5" borderId="0" xfId="1" applyFont="1" applyFill="1" applyAlignment="1">
      <alignment vertical="center"/>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cve.org/CVERecord?id=CVE-2017-8225" TargetMode="External"/><Relationship Id="rId299" Type="http://schemas.openxmlformats.org/officeDocument/2006/relationships/hyperlink" Target="https://bazaar.abuse.ch/download/4ce2ad32a5f4cd83e8fd6f74a886276ecb5fe74fbdc66abf9bbf7d9973870335/" TargetMode="External"/><Relationship Id="rId21" Type="http://schemas.openxmlformats.org/officeDocument/2006/relationships/hyperlink" Target="https://www.cve.org/CVERecord?id=CVE-2024-45163" TargetMode="External"/><Relationship Id="rId63" Type="http://schemas.openxmlformats.org/officeDocument/2006/relationships/hyperlink" Target="https://www.cve.org/CVERecord?id=CVE-2017-17215" TargetMode="External"/><Relationship Id="rId159" Type="http://schemas.openxmlformats.org/officeDocument/2006/relationships/hyperlink" Target="https://bazaar.abuse.ch/download/91a8ac9cef373cd162c9fdf57f08fcd890c52c38313264d1713eba257e554441/" TargetMode="External"/><Relationship Id="rId170" Type="http://schemas.openxmlformats.org/officeDocument/2006/relationships/hyperlink" Target="https://bazaar.abuse.ch/download/7485626e50595dfc04c3550949988e50859534f7749edb1488e0e010ab88a9ef/" TargetMode="External"/><Relationship Id="rId226" Type="http://schemas.openxmlformats.org/officeDocument/2006/relationships/hyperlink" Target="https://www.cve.org/CVERecord?id=CVE-2018-10562" TargetMode="External"/><Relationship Id="rId268" Type="http://schemas.openxmlformats.org/officeDocument/2006/relationships/hyperlink" Target="https://www.cve.org/CVERecord?id=CVE-2017-18368" TargetMode="External"/><Relationship Id="rId32" Type="http://schemas.openxmlformats.org/officeDocument/2006/relationships/hyperlink" Target="https://virusshare.com/apiv2/download?apikey=AyBZnvviVMkKJ8vOU4LJl7GmG5A0jQ75&amp;hash=55b6ea1f896fc3b8f47e6c75988ea2e8629991682d09fa590b110046e0080eda" TargetMode="External"/><Relationship Id="rId74" Type="http://schemas.openxmlformats.org/officeDocument/2006/relationships/hyperlink" Target="https://www.virustotal.com/gui/file/27da7a884b5951158c88a71c21e9d786de7c3b577330033f398b43f480cc8790" TargetMode="External"/><Relationship Id="rId128" Type="http://schemas.openxmlformats.org/officeDocument/2006/relationships/hyperlink" Target="https://www.virustotal.com/gui/file/7a555055be675d93e8ad1ce7061acb222c383708f148f31c50b0cdda9da0ced9" TargetMode="External"/><Relationship Id="rId5" Type="http://schemas.openxmlformats.org/officeDocument/2006/relationships/hyperlink" Target="https://www.virustotal.com/gui/file/f639e7c6e69970d753d741aab0ee56a88444a30579e6e80fe06b8f680c63ba13" TargetMode="External"/><Relationship Id="rId181" Type="http://schemas.openxmlformats.org/officeDocument/2006/relationships/hyperlink" Target="https://www.cve.org/CVERecord?id=CVE-2015-2051" TargetMode="External"/><Relationship Id="rId237" Type="http://schemas.openxmlformats.org/officeDocument/2006/relationships/hyperlink" Target="https://virusshare.com/apiv2/download?apikey=AyBZnvviVMkKJ8vOU4LJl7GmG5A0jQ75&amp;hash=f77a73b044a608dbad4a9500344e2eda2a1d6a686433d42c87a5e5a665590183" TargetMode="External"/><Relationship Id="rId279" Type="http://schemas.openxmlformats.org/officeDocument/2006/relationships/hyperlink" Target="https://www.virustotal.com/gui/file/7052c171f4e7b922c63d810ee3b577d4c52661faf5db1200c1e51aa9f07ccabb" TargetMode="External"/><Relationship Id="rId43" Type="http://schemas.openxmlformats.org/officeDocument/2006/relationships/hyperlink" Target="https://virusshare.com/apiv2/download?apikey=AyBZnvviVMkKJ8vOU4LJl7GmG5A0jQ75&amp;hash=1411a81285e05d0a6b7540cb1ba1438825efbb3bacc4c4e7a2d54c8564948b8e" TargetMode="External"/><Relationship Id="rId139" Type="http://schemas.openxmlformats.org/officeDocument/2006/relationships/hyperlink" Target="https://www.cve.org/CVERecord?id=CVE-2018-10561" TargetMode="External"/><Relationship Id="rId290" Type="http://schemas.openxmlformats.org/officeDocument/2006/relationships/hyperlink" Target="https://virusshare.com/apiv2/download?apikey=AyBZnvviVMkKJ8vOU4LJl7GmG5A0jQ75&amp;hash=2104898e7d2ec9c4234a13205ecc33605597249521d8ed8ca28638fb12628ce3" TargetMode="External"/><Relationship Id="rId85" Type="http://schemas.openxmlformats.org/officeDocument/2006/relationships/hyperlink" Target="https://virusshare.com/apiv2/download?apikey=AyBZnvviVMkKJ8vOU4LJl7GmG5A0jQ75&amp;hash=8ae0bf22a9fa715b298871cba68ac3fe1a4d4edddf97f175e8abe9034261dc33" TargetMode="External"/><Relationship Id="rId150" Type="http://schemas.openxmlformats.org/officeDocument/2006/relationships/hyperlink" Target="https://bazaar.abuse.ch/download/6fb1abffa32badf868367605a2828c7cf4012f46faa3b49fc44ab2ac14fad5a4/" TargetMode="External"/><Relationship Id="rId192" Type="http://schemas.openxmlformats.org/officeDocument/2006/relationships/hyperlink" Target="https://www.virustotal.com/gui/file/7014cd6cd55b5bb516b8e9dd150c0ed6c3bee2a578ae7a8410d581c0fe5ff6fa/details" TargetMode="External"/><Relationship Id="rId206" Type="http://schemas.openxmlformats.org/officeDocument/2006/relationships/hyperlink" Target="https://bazaar.abuse.ch/download/6203f7c2020fa458e3fbb65f1eaf48198354b3cf1c49ba848c8e11e8662fc2d4/" TargetMode="External"/><Relationship Id="rId248" Type="http://schemas.openxmlformats.org/officeDocument/2006/relationships/hyperlink" Target="https://virusshare.com/apiv2/download?apikey=AyBZnvviVMkKJ8vOU4LJl7GmG5A0jQ75&amp;hash=005f48251da93a96a5f907809486d35ecf27ba6b70d8cc80f1c61ae66021ce81" TargetMode="External"/><Relationship Id="rId12" Type="http://schemas.openxmlformats.org/officeDocument/2006/relationships/hyperlink" Target="https://www.virustotal.com/gui/file/b7bf02d25f8121fa573a00256672d5a15b70bd86533273042a8c8a026b0e09ae" TargetMode="External"/><Relationship Id="rId108" Type="http://schemas.openxmlformats.org/officeDocument/2006/relationships/hyperlink" Target="https://www.cve.org/CVERecord?id=CVE-2017-18368" TargetMode="External"/><Relationship Id="rId54" Type="http://schemas.openxmlformats.org/officeDocument/2006/relationships/hyperlink" Target="https://www.cve.org/CVERecord?id=CVE-2025-24016" TargetMode="External"/><Relationship Id="rId96" Type="http://schemas.openxmlformats.org/officeDocument/2006/relationships/hyperlink" Target="https://www.cve.org/CVERecord?id=CVE-2024-24329" TargetMode="External"/><Relationship Id="rId161" Type="http://schemas.openxmlformats.org/officeDocument/2006/relationships/hyperlink" Target="https://www.virustotal.com/gui/file/bdd7e13e31e13596d5df4caf68827934fcca52023e7f299de77d74bdc7275d7c/details" TargetMode="External"/><Relationship Id="rId217" Type="http://schemas.openxmlformats.org/officeDocument/2006/relationships/hyperlink" Target="https://www.cve.org/CVERecord/SearchResults?query=MIRAI" TargetMode="External"/><Relationship Id="rId6" Type="http://schemas.openxmlformats.org/officeDocument/2006/relationships/hyperlink" Target="https://www.virustotal.com/gui/file/5222426b7771863a3a7c7967d86bc73044d5885353aee447d057220b9ba1811a" TargetMode="External"/><Relationship Id="rId238" Type="http://schemas.openxmlformats.org/officeDocument/2006/relationships/hyperlink" Target="https://www.virustotal.com/gui/file/f77a73b044a608dbad4a9500344e2eda2a1d6a686433d42c87a5e5a665590183/summary" TargetMode="External"/><Relationship Id="rId259" Type="http://schemas.openxmlformats.org/officeDocument/2006/relationships/hyperlink" Target="https://www.cve.org/CVERecord?id=CVE-2016-11022" TargetMode="External"/><Relationship Id="rId23" Type="http://schemas.openxmlformats.org/officeDocument/2006/relationships/hyperlink" Target="https://www.cve.org/CVERecord?id=CVE-2024-6047" TargetMode="External"/><Relationship Id="rId119" Type="http://schemas.openxmlformats.org/officeDocument/2006/relationships/hyperlink" Target="https://www.virustotal.com/gui/file/a1c84ae023c742be66419e5aaa1a4571aa4d81d74bca58cbcbe1bdc1ad157cb5" TargetMode="External"/><Relationship Id="rId270" Type="http://schemas.openxmlformats.org/officeDocument/2006/relationships/hyperlink" Target="https://www.virustotal.com/gui/file/6db2a8b5d5274a406724d17df7a7d1b5e55d3aa74803a4d4f95aa04f69bf6da7" TargetMode="External"/><Relationship Id="rId291" Type="http://schemas.openxmlformats.org/officeDocument/2006/relationships/hyperlink" Target="https://www.virustotal.com/gui/file/2104898e7d2ec9c4234a13205ecc33605597249521d8ed8ca28638fb12628ce3" TargetMode="External"/><Relationship Id="rId44" Type="http://schemas.openxmlformats.org/officeDocument/2006/relationships/hyperlink" Target="https://www.virustotal.com/gui/file/1411a81285e05d0a6b7540cb1ba1438825efbb3bacc4c4e7a2d54c8564948b8e/summary" TargetMode="External"/><Relationship Id="rId65" Type="http://schemas.openxmlformats.org/officeDocument/2006/relationships/hyperlink" Target="https://www.virustotal.com/gui/file/f63a286fb1caf85de08b078e06b982392cb06577fbfa597cb8563f8e59cca31d/detection" TargetMode="External"/><Relationship Id="rId86" Type="http://schemas.openxmlformats.org/officeDocument/2006/relationships/hyperlink" Target="https://www.virustotal.com/gui/file/8ae0bf22a9fa715b298871cba68ac3fe1a4d4edddf97f175e8abe9034261dc33" TargetMode="External"/><Relationship Id="rId130" Type="http://schemas.openxmlformats.org/officeDocument/2006/relationships/hyperlink" Target="https://www.cve.org/CVERecord?id=CVE-2018-10562" TargetMode="External"/><Relationship Id="rId151" Type="http://schemas.openxmlformats.org/officeDocument/2006/relationships/hyperlink" Target="https://www.virustotal.com/gui/file/421114c781335aa564154e0a88c87345e5fca232093b39c1695ad6ffcea4b7be/details" TargetMode="External"/><Relationship Id="rId172" Type="http://schemas.openxmlformats.org/officeDocument/2006/relationships/hyperlink" Target="https://www.cve.org/CVERecord?id=CVE-2018-14847" TargetMode="External"/><Relationship Id="rId193" Type="http://schemas.openxmlformats.org/officeDocument/2006/relationships/hyperlink" Target="https://www.cve.org/CVERecord?id=CVE-2023-1389" TargetMode="External"/><Relationship Id="rId207" Type="http://schemas.openxmlformats.org/officeDocument/2006/relationships/hyperlink" Target="https://www.virustotal.com/gui/file/6203f7c2020fa458e3fbb65f1eaf48198354b3cf1c49ba848c8e11e8662fc2d4/details" TargetMode="External"/><Relationship Id="rId228" Type="http://schemas.openxmlformats.org/officeDocument/2006/relationships/hyperlink" Target="https://virusshare.com/apiv2/download?apikey=AyBZnvviVMkKJ8vOU4LJl7GmG5A0jQ75&amp;hash=4cec271f8750eda626f92ed92989d34df2c78a266b6480687dcc4ea469884654" TargetMode="External"/><Relationship Id="rId249" Type="http://schemas.openxmlformats.org/officeDocument/2006/relationships/hyperlink" Target="https://www.virustotal.com/gui/file/005f48251da93a96a5f907809486d35ecf27ba6b70d8cc80f1c61ae66021ce81" TargetMode="External"/><Relationship Id="rId13" Type="http://schemas.openxmlformats.org/officeDocument/2006/relationships/hyperlink" Target="https://virusshare.com/apiv2/download?apikey=AyBZnvviVMkKJ8vOU4LJl7GmG5A0jQ75&amp;hash=f639e7c6e69970d753d741aab0ee56a88444a30579e6e80fe06b8f680c63ba13" TargetMode="External"/><Relationship Id="rId109" Type="http://schemas.openxmlformats.org/officeDocument/2006/relationships/hyperlink" Target="https://virusshare.com/apiv2/download?apikey=AyBZnvviVMkKJ8vOU4LJl7GmG5A0jQ75&amp;hash=d827ce9b0d96222afffa1d423d9c72821bf5409513103a3106291313de9990b0" TargetMode="External"/><Relationship Id="rId260" Type="http://schemas.openxmlformats.org/officeDocument/2006/relationships/hyperlink" Target="https://virusshare.com/apiv2/download?apikey=AyBZnvviVMkKJ8vOU4LJl7GmG5A0jQ75&amp;hash=d827ce9b0d96222afffa1d423d9c72821bf5409513103a3106291313de9990b0" TargetMode="External"/><Relationship Id="rId281" Type="http://schemas.openxmlformats.org/officeDocument/2006/relationships/hyperlink" Target="https://virusshare.com/apiv2/download?apikey=AyBZnvviVMkKJ8vOU4LJl7GmG5A0jQ75&amp;hash=6e1bd475e253dccc60ffac1e992c9084a408ebea59684ce5e407053253ff7f6f" TargetMode="External"/><Relationship Id="rId34" Type="http://schemas.openxmlformats.org/officeDocument/2006/relationships/hyperlink" Target="https://www.virustotal.com/gui/file/b7b6e3d995da1f5cb706b2f27bb380628863812bb111f9198fb51dcda404153c/summary" TargetMode="External"/><Relationship Id="rId55" Type="http://schemas.openxmlformats.org/officeDocument/2006/relationships/hyperlink" Target="https://virusshare.com/apiv2/download?apikey=AyBZnvviVMkKJ8vOU4LJl7GmG5A0jQ75&amp;hash=e4231b487d79b7bd0834aa6b5af00c3f1b1bf2683b1c7fb12c374c49c51a3894" TargetMode="External"/><Relationship Id="rId76" Type="http://schemas.openxmlformats.org/officeDocument/2006/relationships/hyperlink" Target="https://virusshare.com/apiv2/download?apikey=AyBZnvviVMkKJ8vOU4LJl7GmG5A0jQ75&amp;hash=b7bf02d25f8121fa573a00256672d5a15b70bd86533273042a8c8a026b0e09ae" TargetMode="External"/><Relationship Id="rId97" Type="http://schemas.openxmlformats.org/officeDocument/2006/relationships/hyperlink" Target="https://virusshare.com/apiv2/download?apikey=AyBZnvviVMkKJ8vOU4LJl7GmG5A0jQ75&amp;hash=4ce6368677d7771ed9c1ea338e8b23d7d0f69865781d7e0240b33a3561960202" TargetMode="External"/><Relationship Id="rId120" Type="http://schemas.openxmlformats.org/officeDocument/2006/relationships/hyperlink" Target="https://www.cve.org/CVERecord?id=CVE-2014-8361" TargetMode="External"/><Relationship Id="rId141" Type="http://schemas.openxmlformats.org/officeDocument/2006/relationships/hyperlink" Target="https://bazaar.abuse.ch/download/81b00a1fa1258c7c961745a948c0e86c0361730a875d40c0f831302f719d5a5d/" TargetMode="External"/><Relationship Id="rId7" Type="http://schemas.openxmlformats.org/officeDocument/2006/relationships/hyperlink" Target="https://www.virustotal.com/gui/file/e0525efe18052d929e79f0476b15af0fb8aa71886c3ac1932e77d13dd0ac7204" TargetMode="External"/><Relationship Id="rId162" Type="http://schemas.openxmlformats.org/officeDocument/2006/relationships/hyperlink" Target="https://www.cve.org/CVERecord?id=CVE-2015-2051" TargetMode="External"/><Relationship Id="rId183" Type="http://schemas.openxmlformats.org/officeDocument/2006/relationships/hyperlink" Target="https://www.virustotal.com/gui/file/e9decec9730c894effbb5b0b7686a1883bdf0bc29c6a1e28dede706416632d7c/details" TargetMode="External"/><Relationship Id="rId218" Type="http://schemas.openxmlformats.org/officeDocument/2006/relationships/hyperlink" Target="https://bazaar.abuse.ch/download/2548d997fcc8f32e2aa9605e730af81dc18a03b2108971147f0d305b845eb03f/" TargetMode="External"/><Relationship Id="rId239" Type="http://schemas.openxmlformats.org/officeDocument/2006/relationships/hyperlink" Target="https://www.cve.org/CVERecord?id=CVE-2024-11120" TargetMode="External"/><Relationship Id="rId250" Type="http://schemas.openxmlformats.org/officeDocument/2006/relationships/hyperlink" Target="https://www.cve.org/CVERecord?id=CVE-2021-27137" TargetMode="External"/><Relationship Id="rId271" Type="http://schemas.openxmlformats.org/officeDocument/2006/relationships/hyperlink" Target="https://www.cve.org/CVERecord?id=CVE-2016-6277" TargetMode="External"/><Relationship Id="rId292" Type="http://schemas.openxmlformats.org/officeDocument/2006/relationships/hyperlink" Target="https://www.cve.org/CVERecord?id=CVE-2023-49897" TargetMode="External"/><Relationship Id="rId24" Type="http://schemas.openxmlformats.org/officeDocument/2006/relationships/hyperlink" Target="https://www.cve.org/CVERecord?id=CVE-2024-45163" TargetMode="External"/><Relationship Id="rId45" Type="http://schemas.openxmlformats.org/officeDocument/2006/relationships/hyperlink" Target="https://virusshare.com/apiv2/download?apikey=AyBZnvviVMkKJ8vOU4LJl7GmG5A0jQ75&amp;hash=1416c77d5dec82bdeeb6db8a70d4f059c4aa39f358f501dea38389facf92721c" TargetMode="External"/><Relationship Id="rId66" Type="http://schemas.openxmlformats.org/officeDocument/2006/relationships/hyperlink" Target="https://www.cve.org/CVERecord?id=CVE-2024-41473" TargetMode="External"/><Relationship Id="rId87" Type="http://schemas.openxmlformats.org/officeDocument/2006/relationships/hyperlink" Target="https://www.cve.org/CVERecord?id=CVE-2024-9916" TargetMode="External"/><Relationship Id="rId110" Type="http://schemas.openxmlformats.org/officeDocument/2006/relationships/hyperlink" Target="https://www.virustotal.com/gui/file/d827ce9b0d96222afffa1d423d9c72821bf5409513103a3106291313de9990b0" TargetMode="External"/><Relationship Id="rId131" Type="http://schemas.openxmlformats.org/officeDocument/2006/relationships/hyperlink" Target="https://www.cve.org/CVERecord?id=CVE-2016-10372" TargetMode="External"/><Relationship Id="rId152" Type="http://schemas.openxmlformats.org/officeDocument/2006/relationships/hyperlink" Target="https://www.cve.org/CVERecord?id=CVE-2016-10372" TargetMode="External"/><Relationship Id="rId173" Type="http://schemas.openxmlformats.org/officeDocument/2006/relationships/hyperlink" Target="https://bazaar.abuse.ch/download/10d9050fd2cce094214ce2fecc244ec6c2d06479a2f64f0567a80c01b995e384/" TargetMode="External"/><Relationship Id="rId194" Type="http://schemas.openxmlformats.org/officeDocument/2006/relationships/hyperlink" Target="http://bazaar.abuse.ch/browse/signature/Mirai/" TargetMode="External"/><Relationship Id="rId208" Type="http://schemas.openxmlformats.org/officeDocument/2006/relationships/hyperlink" Target="https://www.cve.org/CVERecord?id=CVE-2024-45163" TargetMode="External"/><Relationship Id="rId229" Type="http://schemas.openxmlformats.org/officeDocument/2006/relationships/hyperlink" Target="https://www.virustotal.com/gui/file/4cec271f8750eda626f92ed92989d34df2c78a266b6480687dcc4ea469884654/details" TargetMode="External"/><Relationship Id="rId240" Type="http://schemas.openxmlformats.org/officeDocument/2006/relationships/hyperlink" Target="https://virusshare.com/apiv2/download?apikey=AyBZnvviVMkKJ8vOU4LJl7GmG5A0jQ75&amp;hash=07a314811cc9af6c6f78f7b75ac4b5c77e93a0082e39a944f0dbaef88d0efc87" TargetMode="External"/><Relationship Id="rId261" Type="http://schemas.openxmlformats.org/officeDocument/2006/relationships/hyperlink" Target="https://www.virustotal.com/gui/file/d827ce9b0d96222afffa1d423d9c72821bf5409513103a3106291313de9990b0" TargetMode="External"/><Relationship Id="rId14" Type="http://schemas.openxmlformats.org/officeDocument/2006/relationships/hyperlink" Target="https://virusshare.com/apiv2/download?apikey=AyBZnvviVMkKJ8vOU4LJl7GmG5A0jQ75&amp;hash=5222426b7771863a3a7c7967d86bc73044d5885353aee447d057220b9ba1811a" TargetMode="External"/><Relationship Id="rId35" Type="http://schemas.openxmlformats.org/officeDocument/2006/relationships/hyperlink" Target="https://www.cve.org/CVERecord?id=CVE-2024-6047" TargetMode="External"/><Relationship Id="rId56" Type="http://schemas.openxmlformats.org/officeDocument/2006/relationships/hyperlink" Target="https://www.virustotal.com/gui/file/e4231b487d79b7bd0834aa6b5af00c3f1b1bf2683b1c7fb12c374c49c51a3894/summary" TargetMode="External"/><Relationship Id="rId77" Type="http://schemas.openxmlformats.org/officeDocument/2006/relationships/hyperlink" Target="https://www.virustotal.com/gui/file/b7bf02d25f8121fa573a00256672d5a15b70bd86533273042a8c8a026b0e09ae/summary" TargetMode="External"/><Relationship Id="rId100" Type="http://schemas.openxmlformats.org/officeDocument/2006/relationships/hyperlink" Target="https://virusshare.com/apiv2/download?apikey=AyBZnvviVMkKJ8vOU4LJl7GmG5A0jQ75&amp;hash=a13bef921c6ceb3a977fa24de6270ab4eb9c340938f0674f37f4a249a613351a" TargetMode="External"/><Relationship Id="rId282" Type="http://schemas.openxmlformats.org/officeDocument/2006/relationships/hyperlink" Target="https://www.virustotal.com/gui/file/6e1bd475e253dccc60ffac1e992c9084a408ebea59684ce5e407053253ff7f6f" TargetMode="External"/><Relationship Id="rId8" Type="http://schemas.openxmlformats.org/officeDocument/2006/relationships/hyperlink" Target="https://www.virustotal.com/gui/file/1566904673804300aaa770e91dec6d996e856b7cc104fade0323780ddf782b14" TargetMode="External"/><Relationship Id="rId98" Type="http://schemas.openxmlformats.org/officeDocument/2006/relationships/hyperlink" Target="https://www.virustotal.com/gui/file/4ce6368677d7771ed9c1ea338e8b23d7d0f69865781d7e0240b33a3561960202" TargetMode="External"/><Relationship Id="rId121" Type="http://schemas.openxmlformats.org/officeDocument/2006/relationships/hyperlink" Target="https://bazaar.abuse.ch/download/84c1c00797904489b5690723e91546ead8c07de5c58941890e6d9f4e5ca06571/" TargetMode="External"/><Relationship Id="rId142" Type="http://schemas.openxmlformats.org/officeDocument/2006/relationships/hyperlink" Target="https://www.cve.org/CVERecord/SearchResults?query=CVE-2018-10562" TargetMode="External"/><Relationship Id="rId163" Type="http://schemas.openxmlformats.org/officeDocument/2006/relationships/hyperlink" Target="https://bazaar.abuse.ch/download/b7470f07cace85a6065df567f94356520e644e537b46ab7af1a0f0f3b1d96ca6/" TargetMode="External"/><Relationship Id="rId184" Type="http://schemas.openxmlformats.org/officeDocument/2006/relationships/hyperlink" Target="https://www.cve.org/CVERecord?id=CVE-2018-14847" TargetMode="External"/><Relationship Id="rId219" Type="http://schemas.openxmlformats.org/officeDocument/2006/relationships/hyperlink" Target="https://www.virustotal.com/gui/file/2548d997fcc8f32e2aa9605e730af81dc18a03b2108971147f0d305b845eb03f/details" TargetMode="External"/><Relationship Id="rId230" Type="http://schemas.openxmlformats.org/officeDocument/2006/relationships/hyperlink" Target="https://www.cve.org/CVERecord?id=CVE-2023-1389" TargetMode="External"/><Relationship Id="rId251" Type="http://schemas.openxmlformats.org/officeDocument/2006/relationships/hyperlink" Target="https://virusshare.com/apiv2/download?apikey=AyBZnvviVMkKJ8vOU4LJl7GmG5A0jQ75&amp;hash=db7613ef41e4e3f6900edbd1c5b58b37ef642a9b3df18216fb6032757ca2049a" TargetMode="External"/><Relationship Id="rId25" Type="http://schemas.openxmlformats.org/officeDocument/2006/relationships/hyperlink" Target="https://www.cve.org/CVERecord?id=CVE-2024-6047" TargetMode="External"/><Relationship Id="rId46" Type="http://schemas.openxmlformats.org/officeDocument/2006/relationships/hyperlink" Target="https://www.virustotal.com/gui/file/1416c77d5dec82bdeeb6db8a70d4f059c4aa39f358f501dea38389facf92721c/summary" TargetMode="External"/><Relationship Id="rId67" Type="http://schemas.openxmlformats.org/officeDocument/2006/relationships/hyperlink" Target="https://virusshare.com/apiv2/download?apikey=AyBZnvviVMkKJ8vOU4LJl7GmG5A0jQ75&amp;hash=522b7c24977ad6fbaa208da16fb399201569108ddc5ba346a492f5170c5296d7" TargetMode="External"/><Relationship Id="rId272" Type="http://schemas.openxmlformats.org/officeDocument/2006/relationships/hyperlink" Target="https://virusshare.com/apiv2/download?apikey=AyBZnvviVMkKJ8vOU4LJl7GmG5A0jQ75&amp;hash=a13d5a3c879cbe24378b88c7b93f94dc07fcf37222d53146bd0fb39cb5bd0ef9" TargetMode="External"/><Relationship Id="rId293" Type="http://schemas.openxmlformats.org/officeDocument/2006/relationships/hyperlink" Target="https://bazaar.abuse.ch/download/25160398f59901a8ecc38d178b90ef83edf040314a08a529c8eb87c093391f97/" TargetMode="External"/><Relationship Id="rId88" Type="http://schemas.openxmlformats.org/officeDocument/2006/relationships/hyperlink" Target="https://virusshare.com/apiv2/download?apikey=AyBZnvviVMkKJ8vOU4LJl7GmG5A0jQ75&amp;hash=0c899f9c673d46112c30af8b060b6cd58d7a5227c186b25734f290344c19a6af" TargetMode="External"/><Relationship Id="rId111" Type="http://schemas.openxmlformats.org/officeDocument/2006/relationships/hyperlink" Target="https://www.cve.org/CVERecord?id=CVE-2018-10561" TargetMode="External"/><Relationship Id="rId132" Type="http://schemas.openxmlformats.org/officeDocument/2006/relationships/hyperlink" Target="https://bazaar.abuse.ch/download/81b00a1fa1258c7c961745a948c0e86c0361730a875d40c0f831302f719d5a5d/" TargetMode="External"/><Relationship Id="rId153" Type="http://schemas.openxmlformats.org/officeDocument/2006/relationships/hyperlink" Target="https://bazaar.abuse.ch/download/b12cfc349d7818be942030aac1c9ed75d43e676d9cd02ba999ee2b462f23624b/" TargetMode="External"/><Relationship Id="rId174" Type="http://schemas.openxmlformats.org/officeDocument/2006/relationships/hyperlink" Target="https://www.virustotal.com/gui/file/10d9050fd2cce094214ce2fecc244ec6c2d06479a2f64f0567a80c01b995e384/details" TargetMode="External"/><Relationship Id="rId195" Type="http://schemas.openxmlformats.org/officeDocument/2006/relationships/hyperlink" Target="https://www.virustotal.com/gui/file/03d4a5f4f903bb4d9aae92a06af6ce0128daeaa1847b01fdb8d0e08d9922b9f5/details" TargetMode="External"/><Relationship Id="rId209" Type="http://schemas.openxmlformats.org/officeDocument/2006/relationships/hyperlink" Target="https://bazaar.abuse.ch/download/c60234225b600cea6fa0525a2507218454eeafd0376a9b47b755459edfc35c4f/" TargetMode="External"/><Relationship Id="rId220" Type="http://schemas.openxmlformats.org/officeDocument/2006/relationships/hyperlink" Target="https://www.cve.org/CVERecord?id=CVE-2017-18370" TargetMode="External"/><Relationship Id="rId241" Type="http://schemas.openxmlformats.org/officeDocument/2006/relationships/hyperlink" Target="https://www.virustotal.com/gui/file/07a314811cc9af6c6f78f7b75ac4b5c77e93a0082e39a944f0dbaef88d0efc87/summary" TargetMode="External"/><Relationship Id="rId15" Type="http://schemas.openxmlformats.org/officeDocument/2006/relationships/hyperlink" Target="https://virusshare.com/apiv2/download?apikey=AyBZnvviVMkKJ8vOU4LJl7GmG5A0jQ75&amp;hash=e0525efe18052d929e79f0476b15af0fb8aa71886c3ac1932e77d13dd0ac7204" TargetMode="External"/><Relationship Id="rId36" Type="http://schemas.openxmlformats.org/officeDocument/2006/relationships/hyperlink" Target="https://www.virustotal.com/gui/file/55b6ea1f896fc3b8f47e6c75988ea2e8629991682d09fa590b110046e0080eda/summary" TargetMode="External"/><Relationship Id="rId57" Type="http://schemas.openxmlformats.org/officeDocument/2006/relationships/hyperlink" Target="https://www.cve.org/CVERecord?id=CVE-2017-17215" TargetMode="External"/><Relationship Id="rId262" Type="http://schemas.openxmlformats.org/officeDocument/2006/relationships/hyperlink" Target="https://www.cve.org/CVERecord?id=CVE-2018-10561" TargetMode="External"/><Relationship Id="rId283" Type="http://schemas.openxmlformats.org/officeDocument/2006/relationships/hyperlink" Target="https://www.cve.org/CVERecord?id=CVE-2020-10987" TargetMode="External"/><Relationship Id="rId78" Type="http://schemas.openxmlformats.org/officeDocument/2006/relationships/hyperlink" Target="https://www.cve.org/CVERecord?id=CVE-2017-17215" TargetMode="External"/><Relationship Id="rId99" Type="http://schemas.openxmlformats.org/officeDocument/2006/relationships/hyperlink" Target="https://www.cve.org/CVERecord?id=CVE-2024-9644" TargetMode="External"/><Relationship Id="rId101" Type="http://schemas.openxmlformats.org/officeDocument/2006/relationships/hyperlink" Target="https://www.virustotal.com/gui/file/a13bef921c6ceb3a977fa24de6270ab4eb9c340938f0674f37f4a249a613351a" TargetMode="External"/><Relationship Id="rId122" Type="http://schemas.openxmlformats.org/officeDocument/2006/relationships/hyperlink" Target="https://www.cve.org/CVERecord?id=CVE-2018-14847" TargetMode="External"/><Relationship Id="rId143" Type="http://schemas.openxmlformats.org/officeDocument/2006/relationships/hyperlink" Target="https://www.virustotal.com/gui/file/81b00a1fa1258c7c961745a948c0e86c0361730a875d40c0f831302f719d5a5d" TargetMode="External"/><Relationship Id="rId164" Type="http://schemas.openxmlformats.org/officeDocument/2006/relationships/hyperlink" Target="https://www.virustotal.com/gui/file/b7470f07cace85a6065df567f94356520e644e537b46ab7af1a0f0f3b1d96ca6/details" TargetMode="External"/><Relationship Id="rId185" Type="http://schemas.openxmlformats.org/officeDocument/2006/relationships/hyperlink" Target="https://bazaar.abuse.ch/download/3ccfec6068f0df7a18ccb5a9a1f94ef3cdfd4648ed950ac33125cf0c8ac7a4e3/" TargetMode="External"/><Relationship Id="rId9" Type="http://schemas.openxmlformats.org/officeDocument/2006/relationships/hyperlink" Target="https://www.virustotal.com/gui/file/1567041cdc0c1bda7f253378d4c58976bc7689016aa954211f64169f921709eb" TargetMode="External"/><Relationship Id="rId210" Type="http://schemas.openxmlformats.org/officeDocument/2006/relationships/hyperlink" Target="https://www.virustotal.com/gui/file/c60234225b600cea6fa0525a2507218454eeafd0376a9b47b755459edfc35c4f/details" TargetMode="External"/><Relationship Id="rId26" Type="http://schemas.openxmlformats.org/officeDocument/2006/relationships/hyperlink" Target="https://www.cve.org/CVERecord?id=CVE-2024-45163" TargetMode="External"/><Relationship Id="rId231" Type="http://schemas.openxmlformats.org/officeDocument/2006/relationships/hyperlink" Target="https://virusshare.com/apiv2/download?apikey=AyBZnvviVMkKJ8vOU4LJl7GmG5A0jQ75&amp;hash=4ce6368677d7771ed9c1ea338e8b23d7d0f69865781d7e0240b33a3561960202" TargetMode="External"/><Relationship Id="rId252" Type="http://schemas.openxmlformats.org/officeDocument/2006/relationships/hyperlink" Target="https://www.virustotal.com/gui/file/db7613ef41e4e3f6900edbd1c5b58b37ef642a9b3df18216fb6032757ca2049a" TargetMode="External"/><Relationship Id="rId273" Type="http://schemas.openxmlformats.org/officeDocument/2006/relationships/hyperlink" Target="https://www.virustotal.com/gui/file/a13d5a3c879cbe24378b88c7b93f94dc07fcf37222d53146bd0fb39cb5bd0ef9" TargetMode="External"/><Relationship Id="rId294" Type="http://schemas.openxmlformats.org/officeDocument/2006/relationships/hyperlink" Target="https://www.virustotal.com/gui/file/25160398f59901a8ecc38d178b90ef83edf040314a08a529c8eb87c093391f97" TargetMode="External"/><Relationship Id="rId47" Type="http://schemas.openxmlformats.org/officeDocument/2006/relationships/hyperlink" Target="https://www.cve.org/CVERecord?id=CVE-2014-8361" TargetMode="External"/><Relationship Id="rId68" Type="http://schemas.openxmlformats.org/officeDocument/2006/relationships/hyperlink" Target="https://www.virustotal.com/gui/file/522b7c24977ad6fbaa208da16fb399201569108ddc5ba346a492f5170c5296d7" TargetMode="External"/><Relationship Id="rId89" Type="http://schemas.openxmlformats.org/officeDocument/2006/relationships/hyperlink" Target="https://www.virustotal.com/gui/file/0c899f9c673d46112c30af8b060b6cd58d7a5227c186b25734f290344c19a6af" TargetMode="External"/><Relationship Id="rId112" Type="http://schemas.openxmlformats.org/officeDocument/2006/relationships/hyperlink" Target="https://virusshare.com/apiv2/download?apikey=AyBZnvviVMkKJ8vOU4LJl7GmG5A0jQ75&amp;hash=005f48251da93a96a5f907809486d35ecf27ba6b70d8cc80f1c61ae66021ce81" TargetMode="External"/><Relationship Id="rId133" Type="http://schemas.openxmlformats.org/officeDocument/2006/relationships/hyperlink" Target="https://www.cve.org/CVERecord?id=CVE-2014-8361" TargetMode="External"/><Relationship Id="rId154" Type="http://schemas.openxmlformats.org/officeDocument/2006/relationships/hyperlink" Target="https://www.virustotal.com/gui/file/b12cfc349d7818be942030aac1c9ed75d43e676d9cd02ba999ee2b462f23624b/details" TargetMode="External"/><Relationship Id="rId175" Type="http://schemas.openxmlformats.org/officeDocument/2006/relationships/hyperlink" Target="https://www.cve.org/CVERecord?id=CVE-2018-10562" TargetMode="External"/><Relationship Id="rId196" Type="http://schemas.openxmlformats.org/officeDocument/2006/relationships/hyperlink" Target="https://bazaar.abuse.ch/download/707ca8053337ef21baa01939b979d3a192b013ec473d8d37ce05122335208dff/" TargetMode="External"/><Relationship Id="rId200" Type="http://schemas.openxmlformats.org/officeDocument/2006/relationships/hyperlink" Target="https://bazaar.abuse.ch/download/0b625b19f44fcf0d5d279b91e1a31797e05822bcecebf5eb89f34fd54e7b943a/" TargetMode="External"/><Relationship Id="rId16" Type="http://schemas.openxmlformats.org/officeDocument/2006/relationships/hyperlink" Target="https://virusshare.com/apiv2/download?apikey=AyBZnvviVMkKJ8vOU4LJl7GmG5A0jQ75&amp;hash=1566904673804300aaa770e91dec6d996e856b7cc104fade0323780ddf782b14" TargetMode="External"/><Relationship Id="rId221" Type="http://schemas.openxmlformats.org/officeDocument/2006/relationships/hyperlink" Target="https://bazaar.abuse.ch/download/91caae9dc7262dde63dfcd5672d133d063fab975/" TargetMode="External"/><Relationship Id="rId242" Type="http://schemas.openxmlformats.org/officeDocument/2006/relationships/hyperlink" Target="https://www.cve.org/CVERecord?id=CVE-2023-7311" TargetMode="External"/><Relationship Id="rId263" Type="http://schemas.openxmlformats.org/officeDocument/2006/relationships/hyperlink" Target="https://virusshare.com/apiv2/download?apikey=AyBZnvviVMkKJ8vOU4LJl7GmG5A0jQ75&amp;hash=d8271d16880859851013aa76c7487cc7a85d312b51f76c56cfc719ad0b36d4bf" TargetMode="External"/><Relationship Id="rId284" Type="http://schemas.openxmlformats.org/officeDocument/2006/relationships/hyperlink" Target="https://virusshare.com/apiv2/download?apikey=AyBZnvviVMkKJ8vOU4LJl7GmG5A0jQ75&amp;hash=07a314811cc9af6c6f78f7b75ac4b5c77e93a0082e39a944f0dbaef88d0efc87" TargetMode="External"/><Relationship Id="rId37" Type="http://schemas.openxmlformats.org/officeDocument/2006/relationships/hyperlink" Target="https://www.cve.org/CVERecord?id=CVE-2024-45163" TargetMode="External"/><Relationship Id="rId58" Type="http://schemas.openxmlformats.org/officeDocument/2006/relationships/hyperlink" Target="https://virusshare.com/apiv2/download?apikey=AyBZnvviVMkKJ8vOU4LJl7GmG5A0jQ75&amp;hash=72747ba14f902360eb7b4733617ad2c09ba11d6f9aab5787f2ee598e87ef7971" TargetMode="External"/><Relationship Id="rId79" Type="http://schemas.openxmlformats.org/officeDocument/2006/relationships/hyperlink" Target="https://virusshare.com/apiv2/download?apikey=AyBZnvviVMkKJ8vOU4LJl7GmG5A0jQ75&amp;hash=b280fd654bb93bbaa8fdf518a54f3a282461873a15e94ebeb6e5e1fa50248cf7" TargetMode="External"/><Relationship Id="rId102" Type="http://schemas.openxmlformats.org/officeDocument/2006/relationships/hyperlink" Target="https://www.cve.org/CVERecord?id=CVE-2023-1389" TargetMode="External"/><Relationship Id="rId123" Type="http://schemas.openxmlformats.org/officeDocument/2006/relationships/hyperlink" Target="https://bazaar.abuse.ch/download/84c1c00797904489b5690723e91546ead8c07de5c58941890e6d9f4e5ca06571/" TargetMode="External"/><Relationship Id="rId144" Type="http://schemas.openxmlformats.org/officeDocument/2006/relationships/hyperlink" Target="https://bazaar.abuse.ch/download/a8f35a473cce881a9663399251eb8ec59f3260fbf409e2997f1d93612fd45f37/" TargetMode="External"/><Relationship Id="rId90" Type="http://schemas.openxmlformats.org/officeDocument/2006/relationships/hyperlink" Target="https://www.cve.org/CVERecord?id=CVE-2024-2353" TargetMode="External"/><Relationship Id="rId165" Type="http://schemas.openxmlformats.org/officeDocument/2006/relationships/hyperlink" Target="https://www.cve.org/CVERecord?id=CVE-2018-10561" TargetMode="External"/><Relationship Id="rId186" Type="http://schemas.openxmlformats.org/officeDocument/2006/relationships/hyperlink" Target="https://www.virustotal.com/gui/file/3ccfec6068f0df7a18ccb5a9a1f94ef3cdfd4648ed950ac33125cf0c8ac7a4e3/details" TargetMode="External"/><Relationship Id="rId211" Type="http://schemas.openxmlformats.org/officeDocument/2006/relationships/hyperlink" Target="https://www.cve.org/CVERecord?id=CVE-2024-14007" TargetMode="External"/><Relationship Id="rId232" Type="http://schemas.openxmlformats.org/officeDocument/2006/relationships/hyperlink" Target="https://www.virustotal.com/gui/file/4ce6368677d7771ed9c1ea338e8b23d7d0f69865781d7e0240b33a3561960202/details" TargetMode="External"/><Relationship Id="rId253" Type="http://schemas.openxmlformats.org/officeDocument/2006/relationships/hyperlink" Target="https://www.cve.org/CVERecord?id=CVE-2017-17215" TargetMode="External"/><Relationship Id="rId274" Type="http://schemas.openxmlformats.org/officeDocument/2006/relationships/hyperlink" Target="https://www.cve.org/CVERecord?id=CVE-2018-20062" TargetMode="External"/><Relationship Id="rId295" Type="http://schemas.openxmlformats.org/officeDocument/2006/relationships/hyperlink" Target="https://www.cve.org/CVERecord?id=CVE-2024-11120" TargetMode="External"/><Relationship Id="rId27" Type="http://schemas.openxmlformats.org/officeDocument/2006/relationships/hyperlink" Target="https://www.cve.org/CVERecord?id=CVE-2016-10372" TargetMode="External"/><Relationship Id="rId48" Type="http://schemas.openxmlformats.org/officeDocument/2006/relationships/hyperlink" Target="https://www.cve.org/CVERecord?id=CVE-2018-10561" TargetMode="External"/><Relationship Id="rId69" Type="http://schemas.openxmlformats.org/officeDocument/2006/relationships/hyperlink" Target="https://www.cve.org/CVERecord?id=CVE-2024-12987" TargetMode="External"/><Relationship Id="rId113" Type="http://schemas.openxmlformats.org/officeDocument/2006/relationships/hyperlink" Target="https://www.virustotal.com/gui/file/005f48251da93a96a5f907809486d35ecf27ba6b70d8cc80f1c61ae66021ce81" TargetMode="External"/><Relationship Id="rId134" Type="http://schemas.openxmlformats.org/officeDocument/2006/relationships/hyperlink" Target="https://bazaar.abuse.ch/download/9e9f35c6f25de8af36179c4679225864de31a6bc38429531a641abbef82edf61/" TargetMode="External"/><Relationship Id="rId80" Type="http://schemas.openxmlformats.org/officeDocument/2006/relationships/hyperlink" Target="https://www.virustotal.com/gui/file/b280fd654bb93bbaa8fdf518a54f3a282461873a15e94ebeb6e5e1fa50248cf7" TargetMode="External"/><Relationship Id="rId155" Type="http://schemas.openxmlformats.org/officeDocument/2006/relationships/hyperlink" Target="https://www.cve.org/CVERecord?id=CVE-2014-9222" TargetMode="External"/><Relationship Id="rId176" Type="http://schemas.openxmlformats.org/officeDocument/2006/relationships/hyperlink" Target="https://bazaar.abuse.ch/download/1a50f7ed40a2d047bb7a95eae650571dfee80694818dddc54a57e9f0a93617e5/" TargetMode="External"/><Relationship Id="rId197" Type="http://schemas.openxmlformats.org/officeDocument/2006/relationships/hyperlink" Target="https://www.virustotal.com/gui/file/707ca8053337ef21baa01939b979d3a192b013ec473d8d37ce05122335208dff/details" TargetMode="External"/><Relationship Id="rId201" Type="http://schemas.openxmlformats.org/officeDocument/2006/relationships/hyperlink" Target="https://www.virustotal.com/gui/file/0b625b19f44fcf0d5d279b91e1a31797e05822bcecebf5eb89f34fd54e7b943a/details" TargetMode="External"/><Relationship Id="rId222" Type="http://schemas.openxmlformats.org/officeDocument/2006/relationships/hyperlink" Target="https://www.virustotal.com/gui/file/98d4cdd25423df16a7d6e821f44fb90b50a551c851c2f494cbdaab5c96693049/details" TargetMode="External"/><Relationship Id="rId243" Type="http://schemas.openxmlformats.org/officeDocument/2006/relationships/hyperlink" Target="https://virusshare.com/apiv2/download?apikey=AyBZnvviVMkKJ8vOU4LJl7GmG5A0jQ75&amp;hash=6e1bd475e253dccc60ffac1e992c9084a408ebea59684ce5e407053253ff7f6f" TargetMode="External"/><Relationship Id="rId264" Type="http://schemas.openxmlformats.org/officeDocument/2006/relationships/hyperlink" Target="https://www.virustotal.com/gui/file/d8271d16880859851013aa76c7487cc7a85d312b51f76c56cfc719ad0b36d4bf" TargetMode="External"/><Relationship Id="rId285" Type="http://schemas.openxmlformats.org/officeDocument/2006/relationships/hyperlink" Target="https://www.virustotal.com/gui/file/07a314811cc9af6c6f78f7b75ac4b5c77e93a0082e39a944f0dbaef88d0efc87" TargetMode="External"/><Relationship Id="rId17" Type="http://schemas.openxmlformats.org/officeDocument/2006/relationships/hyperlink" Target="https://virusshare.com/apiv2/download?apikey=AyBZnvviVMkKJ8vOU4LJl7GmG5A0jQ75&amp;hash=1567041cdc0c1bda7f253378d4c58976bc7689016aa954211f64169f921709eb" TargetMode="External"/><Relationship Id="rId38" Type="http://schemas.openxmlformats.org/officeDocument/2006/relationships/hyperlink" Target="https://www.virustotal.com/gui/file/7c2e8c214900221210ca3de3ceaaa7fbc2a442412a6dc05656890a3503b6b1c5/summary" TargetMode="External"/><Relationship Id="rId59" Type="http://schemas.openxmlformats.org/officeDocument/2006/relationships/hyperlink" Target="https://www.virustotal.com/gui/file/72747ba14f902360eb7b4733617ad2c09ba11d6f9aab5787f2ee598e87ef7971/summary" TargetMode="External"/><Relationship Id="rId103" Type="http://schemas.openxmlformats.org/officeDocument/2006/relationships/hyperlink" Target="https://virusshare.com/apiv2/download?apikey=AyBZnvviVMkKJ8vOU4LJl7GmG5A0jQ75&amp;hash=a13d5a3c879cbe24378b88c7b93f94dc07fcf37222d53146bd0fb39cb5bd0ef9" TargetMode="External"/><Relationship Id="rId124" Type="http://schemas.openxmlformats.org/officeDocument/2006/relationships/hyperlink" Target="https://www.virustotal.com/gui/file/84c1c00797904489b5690723e91546ead8c07de5c58941890e6d9f4e5ca06571" TargetMode="External"/><Relationship Id="rId70" Type="http://schemas.openxmlformats.org/officeDocument/2006/relationships/hyperlink" Target="https://virusshare.com/apiv2/download?apikey=AyBZnvviVMkKJ8vOU4LJl7GmG5A0jQ75&amp;hash=94b5087311b3e58a0e4f569996096e5d6d67ec1fabed0581ab54c0e714a675a7" TargetMode="External"/><Relationship Id="rId91" Type="http://schemas.openxmlformats.org/officeDocument/2006/relationships/hyperlink" Target="https://virusshare.com/apiv2/download?apikey=AyBZnvviVMkKJ8vOU4LJl7GmG5A0jQ75&amp;hash=056e5aa22e3505fbbddc87db8494052d165e7fc1c15f3e9789c8ac82aea4f8da" TargetMode="External"/><Relationship Id="rId145" Type="http://schemas.openxmlformats.org/officeDocument/2006/relationships/hyperlink" Target="https://www.virustotal.com/gui/file/81b00a1fa1258c7c961745a948c0e86c0361730a875d40c0f831302f719d5a5d/details" TargetMode="External"/><Relationship Id="rId166" Type="http://schemas.openxmlformats.org/officeDocument/2006/relationships/hyperlink" Target="https://bazaar.abuse.ch/download/eef2a53dd70578b8a081b07d1631151da39274fd382803c9703fdcce9e86fa3a/" TargetMode="External"/><Relationship Id="rId187" Type="http://schemas.openxmlformats.org/officeDocument/2006/relationships/hyperlink" Target="https://bazaar.abuse.ch/download/4e114c1111ecdaf0a7622a347c025cd3f9584be170b129113d836a2a5a7c169f/" TargetMode="External"/><Relationship Id="rId1" Type="http://schemas.openxmlformats.org/officeDocument/2006/relationships/hyperlink" Target="https://virusshare.com/apiv2/download?apikey=AyBZnvviVMkKJ8vOU4LJl7GmG5A0jQ75&amp;hash=067e586661ff15e55ea84a95749970e9970e062d2462dc455d30a268ab6290f7" TargetMode="External"/><Relationship Id="rId212" Type="http://schemas.openxmlformats.org/officeDocument/2006/relationships/hyperlink" Target="https://bazaar.abuse.ch/download/6ef4996c767182ee28ad87dd18f48015c6b84edb2017b12c1fc0365f7465175e/" TargetMode="External"/><Relationship Id="rId233" Type="http://schemas.openxmlformats.org/officeDocument/2006/relationships/hyperlink" Target="https://www.cve.org/CVERecord?id=CVE-2018-10562" TargetMode="External"/><Relationship Id="rId254" Type="http://schemas.openxmlformats.org/officeDocument/2006/relationships/hyperlink" Target="https://virusshare.com/apiv2/download?apikey=AyBZnvviVMkKJ8vOU4LJl7GmG5A0jQ75&amp;hash=c7674e916dee806a090ce9a0c08016f942af4e082f44b223ec99b8a299c039f2" TargetMode="External"/><Relationship Id="rId28" Type="http://schemas.openxmlformats.org/officeDocument/2006/relationships/hyperlink" Target="https://www.cve.org/CVERecord?id=CVE-2024-3721" TargetMode="External"/><Relationship Id="rId49" Type="http://schemas.openxmlformats.org/officeDocument/2006/relationships/hyperlink" Target="https://virusshare.com/apiv2/download?apikey=AyBZnvviVMkKJ8vOU4LJl7GmG5A0jQ75&amp;hash=e426c9118e70d85616fc32d4c76ffccbb4f6ab3f16583ffc09e6a65ac0dd1fca" TargetMode="External"/><Relationship Id="rId114" Type="http://schemas.openxmlformats.org/officeDocument/2006/relationships/hyperlink" Target="https://www.cve.org/CVERecord?id=CVE-2018-10562" TargetMode="External"/><Relationship Id="rId275" Type="http://schemas.openxmlformats.org/officeDocument/2006/relationships/hyperlink" Target="https://virusshare.com/apiv2/download?apikey=AyBZnvviVMkKJ8vOU4LJl7GmG5A0jQ75&amp;hash=a13bef921c6ceb3a977fa24de6270ab4eb9c340938f0674f37f4a249a613351a" TargetMode="External"/><Relationship Id="rId296" Type="http://schemas.openxmlformats.org/officeDocument/2006/relationships/hyperlink" Target="https://bazaar.abuse.ch/download/44e217d312d0eca25c3d939d8597ef6952f4c1ea429a6c39470993dabf97238b" TargetMode="External"/><Relationship Id="rId300" Type="http://schemas.openxmlformats.org/officeDocument/2006/relationships/hyperlink" Target="https://www.virustotal.com/gui/file/4ce2ad32a5f4cd83e8fd6f74a886276ecb5fe74fbdc66abf9bbf7d9973870335" TargetMode="External"/><Relationship Id="rId60" Type="http://schemas.openxmlformats.org/officeDocument/2006/relationships/hyperlink" Target="https://www.cve.org/CVERecord?id=CVE-2018-10561" TargetMode="External"/><Relationship Id="rId81" Type="http://schemas.openxmlformats.org/officeDocument/2006/relationships/hyperlink" Target="https://www.cve.org/CVERecord?id=CVE-2024-41473" TargetMode="External"/><Relationship Id="rId135" Type="http://schemas.openxmlformats.org/officeDocument/2006/relationships/hyperlink" Target="https://bazaar.abuse.ch/download/c8864a6db3f2fc370968e2cc6216f19b6d469a438f365143ba80e4b1f0a58694/" TargetMode="External"/><Relationship Id="rId156" Type="http://schemas.openxmlformats.org/officeDocument/2006/relationships/hyperlink" Target="https://bazaar.abuse.ch/download/91a8ac9cef373cd162c9fdf57f08fcd890c52c38313264d1713eba257e554441/" TargetMode="External"/><Relationship Id="rId177" Type="http://schemas.openxmlformats.org/officeDocument/2006/relationships/hyperlink" Target="https://www.virustotal.com/gui/file/1a50f7ed40a2d047bb7a95eae650571dfee80694818dddc54a57e9f0a93617e5/details" TargetMode="External"/><Relationship Id="rId198" Type="http://schemas.openxmlformats.org/officeDocument/2006/relationships/hyperlink" Target="https://www.cve.org/CVERecord?id=CVE-2024-7029" TargetMode="External"/><Relationship Id="rId202" Type="http://schemas.openxmlformats.org/officeDocument/2006/relationships/hyperlink" Target="https://www.cve.org/CVERecord?id=CVE-2025-29635" TargetMode="External"/><Relationship Id="rId223" Type="http://schemas.openxmlformats.org/officeDocument/2006/relationships/hyperlink" Target="https://www.cve.org/CVERecord?id=CVE-2017-18371" TargetMode="External"/><Relationship Id="rId244" Type="http://schemas.openxmlformats.org/officeDocument/2006/relationships/hyperlink" Target="https://www.virustotal.com/gui/file/6e1bd475e253dccc60ffac1e992c9084a408ebea59684ce5e407053253ff7f6f/summary" TargetMode="External"/><Relationship Id="rId18" Type="http://schemas.openxmlformats.org/officeDocument/2006/relationships/hyperlink" Target="https://virusshare.com/apiv2/download?apikey=AyBZnvviVMkKJ8vOU4LJl7GmG5A0jQ75&amp;hash=94b5087311b3e58a0e4f569996096e5d6d67ec1fabed0581ab54c0e714a675a7" TargetMode="External"/><Relationship Id="rId39" Type="http://schemas.openxmlformats.org/officeDocument/2006/relationships/hyperlink" Target="https://virusshare.com/apiv2/download?apikey=AyBZnvviVMkKJ8vOU4LJl7GmG5A0jQ75&amp;hash=7c2d618cb0d195c1ea4aa789892e29dff4d3170f1ad38826f495423ae3b47c7c" TargetMode="External"/><Relationship Id="rId265" Type="http://schemas.openxmlformats.org/officeDocument/2006/relationships/hyperlink" Target="https://www.cve.org/CVERecord?id=CVE-2018-10562" TargetMode="External"/><Relationship Id="rId286" Type="http://schemas.openxmlformats.org/officeDocument/2006/relationships/hyperlink" Target="https://www.cve.org/CVERecord?id=CVE-2020-25506" TargetMode="External"/><Relationship Id="rId50" Type="http://schemas.openxmlformats.org/officeDocument/2006/relationships/hyperlink" Target="https://www.virustotal.com/gui/file/e426c9118e70d85616fc32d4c76ffccbb4f6ab3f16583ffc09e6a65ac0dd1fca" TargetMode="External"/><Relationship Id="rId104" Type="http://schemas.openxmlformats.org/officeDocument/2006/relationships/hyperlink" Target="https://www.virustotal.com/gui/file/a13d5a3c879cbe24378b88c7b93f94dc07fcf37222d53146bd0fb39cb5bd0ef9" TargetMode="External"/><Relationship Id="rId125" Type="http://schemas.openxmlformats.org/officeDocument/2006/relationships/hyperlink" Target="https://www.cve.org/CVERecord?id=CVE-2018-7445" TargetMode="External"/><Relationship Id="rId146" Type="http://schemas.openxmlformats.org/officeDocument/2006/relationships/hyperlink" Target="https://www.cve.org/CVERecord?id=CVE-2018-14847" TargetMode="External"/><Relationship Id="rId167" Type="http://schemas.openxmlformats.org/officeDocument/2006/relationships/hyperlink" Target="https://www.virustotal.com/gui/file/eef2a53dd70578b8a081b07d1631151da39274fd382803c9703fdcce9e86fa3a/details" TargetMode="External"/><Relationship Id="rId188" Type="http://schemas.openxmlformats.org/officeDocument/2006/relationships/hyperlink" Target="https://www.virustotal.com/gui/file/4e114c1111ecdaf0a7622a347c025cd3f9584be170b129113d836a2a5a7c169f/details" TargetMode="External"/><Relationship Id="rId71" Type="http://schemas.openxmlformats.org/officeDocument/2006/relationships/hyperlink" Target="https://www.virustotal.com/gui/file/94b5087311b3e58a0e4f569996096e5d6d67ec1fabed0581ab54c0e714a675a7/summary" TargetMode="External"/><Relationship Id="rId92" Type="http://schemas.openxmlformats.org/officeDocument/2006/relationships/hyperlink" Target="https://www.virustotal.com/gui/file/056e5aa22e3505fbbddc87db8494052d165e7fc1c15f3e9789c8ac82aea4f8da" TargetMode="External"/><Relationship Id="rId213" Type="http://schemas.openxmlformats.org/officeDocument/2006/relationships/hyperlink" Target="https://www.virustotal.com/gui/file/6ef4996c767182ee28ad87dd18f48015c6b84edb2017b12c1fc0365f7465175e/details" TargetMode="External"/><Relationship Id="rId234" Type="http://schemas.openxmlformats.org/officeDocument/2006/relationships/hyperlink" Target="https://virusshare.com/apiv2/download?apikey=AyBZnvviVMkKJ8vOU4LJl7GmG5A0jQ75&amp;hash=2104898e7d2ec9c4234a13205ecc33605597249521d8ed8ca28638fb12628ce3" TargetMode="External"/><Relationship Id="rId2" Type="http://schemas.openxmlformats.org/officeDocument/2006/relationships/hyperlink" Target="https://www.virustotal.com/gui/file/067e586661ff15e55ea84a95749970e9970e062d2462dc455d30a268ab6290f7/summary" TargetMode="External"/><Relationship Id="rId29" Type="http://schemas.openxmlformats.org/officeDocument/2006/relationships/hyperlink" Target="https://www.cve.org/CVERecord?id=CVE-2016-10372" TargetMode="External"/><Relationship Id="rId255" Type="http://schemas.openxmlformats.org/officeDocument/2006/relationships/hyperlink" Target="https://www.virustotal.com/gui/file/c7674e916dee806a090ce9a0c08016f942af4e082f44b223ec99b8a299c039f2" TargetMode="External"/><Relationship Id="rId276" Type="http://schemas.openxmlformats.org/officeDocument/2006/relationships/hyperlink" Target="https://www.virustotal.com/gui/file/a13bef921c6ceb3a977fa24de6270ab4eb9c340938f0674f37f4a249a613351a" TargetMode="External"/><Relationship Id="rId297" Type="http://schemas.openxmlformats.org/officeDocument/2006/relationships/hyperlink" Target="https://www.virustotal.com/gui/file/44e217d312d0eca25c3d939d8597ef6952f4c1ea429a6c39470993dabf97238b" TargetMode="External"/><Relationship Id="rId40" Type="http://schemas.openxmlformats.org/officeDocument/2006/relationships/hyperlink" Target="https://www.virustotal.com/gui/file/7c2d618cb0d195c1ea4aa789892e29dff4d3170f1ad38826f495423ae3b47c7c/summary" TargetMode="External"/><Relationship Id="rId115" Type="http://schemas.openxmlformats.org/officeDocument/2006/relationships/hyperlink" Target="https://virusshare.com/apiv2/download?apikey=AyBZnvviVMkKJ8vOU4LJl7GmG5A0jQ75&amp;hash=f2e70e98d225c8009bb9dbca6657d6006bc386655fd49148813f22386005e568" TargetMode="External"/><Relationship Id="rId136" Type="http://schemas.openxmlformats.org/officeDocument/2006/relationships/hyperlink" Target="https://www.virustotal.com/gui/file/9e9f35c6f25de8af36179c4679225864de31a6bc38429531a641abbef82edf61/details" TargetMode="External"/><Relationship Id="rId157" Type="http://schemas.openxmlformats.org/officeDocument/2006/relationships/hyperlink" Target="https://www.virustotal.com/gui/file/91a8ac9cef373cd162c9fdf57f08fcd890c52c38313264d1713eba257e554441/details" TargetMode="External"/><Relationship Id="rId178" Type="http://schemas.openxmlformats.org/officeDocument/2006/relationships/hyperlink" Target="https://www.cve.org/CVERecord?id=CVE-2014-8361" TargetMode="External"/><Relationship Id="rId301" Type="http://schemas.openxmlformats.org/officeDocument/2006/relationships/hyperlink" Target="https://www.cve.org/CVERecord?id=CVE-2023-6574" TargetMode="External"/><Relationship Id="rId61" Type="http://schemas.openxmlformats.org/officeDocument/2006/relationships/hyperlink" Target="https://bazaar.abuse.ch/download/f852c66455c6052ebe591bc72749b0271f94cf79ea359c88c296d467ff4c89fd/" TargetMode="External"/><Relationship Id="rId82" Type="http://schemas.openxmlformats.org/officeDocument/2006/relationships/hyperlink" Target="https://virusshare.com/apiv2/download?apikey=AyBZnvviVMkKJ8vOU4LJl7GmG5A0jQ75&amp;hash=b5a5b9c266e84c9304a00f5fc3a37f95344c8d3c2ff04911479da3e1ef258e06" TargetMode="External"/><Relationship Id="rId199" Type="http://schemas.openxmlformats.org/officeDocument/2006/relationships/hyperlink" Target="https://www.cve.org/CVERecord?id=CVE-2024-7029" TargetMode="External"/><Relationship Id="rId203" Type="http://schemas.openxmlformats.org/officeDocument/2006/relationships/hyperlink" Target="https://bazaar.abuse.ch/download/707ca8053337ef21baa01939b979d3a192b013ec473d8d37ce05122335208dff/" TargetMode="External"/><Relationship Id="rId19" Type="http://schemas.openxmlformats.org/officeDocument/2006/relationships/hyperlink" Target="https://virusshare.com/apiv2/download?apikey=AyBZnvviVMkKJ8vOU4LJl7GmG5A0jQ75&amp;hash=94b83fd7382bc02adf64c6aca135ec9613da1e055e47a43c6bd8156f17d5d4ff" TargetMode="External"/><Relationship Id="rId224" Type="http://schemas.openxmlformats.org/officeDocument/2006/relationships/hyperlink" Target="https://virusshare.com/apiv2/download?apikey=AyBZnvviVMkKJ8vOU4LJl7GmG5A0jQ75&amp;hash=6a126d8e49ffb9e6a25eb5f2841a8eee4b31f71bc7b46ca25c90b4eaf61cf262" TargetMode="External"/><Relationship Id="rId245" Type="http://schemas.openxmlformats.org/officeDocument/2006/relationships/hyperlink" Target="https://www.cve.org/CVERecord?id=CVE-2023-6574" TargetMode="External"/><Relationship Id="rId266" Type="http://schemas.openxmlformats.org/officeDocument/2006/relationships/hyperlink" Target="https://virusshare.com/apiv2/download?apikey=AyBZnvviVMkKJ8vOU4LJl7GmG5A0jQ75&amp;hash=d824058d201ab749ee9ca0968bf37e9e1cde38de339672a83e74090752a0892a" TargetMode="External"/><Relationship Id="rId287" Type="http://schemas.openxmlformats.org/officeDocument/2006/relationships/hyperlink" Target="https://virusshare.com/apiv2/download?apikey=AyBZnvviVMkKJ8vOU4LJl7GmG5A0jQ75&amp;hash=f77a73b044a608dbad4a9500344e2eda2a1d6a686433d42c87a5e5a665590183" TargetMode="External"/><Relationship Id="rId30" Type="http://schemas.openxmlformats.org/officeDocument/2006/relationships/hyperlink" Target="https://www.cve.org/CVERecord?id=CVE-2015-2051" TargetMode="External"/><Relationship Id="rId105" Type="http://schemas.openxmlformats.org/officeDocument/2006/relationships/hyperlink" Target="https://www.cve.org/CVERecord?id=CVE-2017-17215" TargetMode="External"/><Relationship Id="rId126" Type="http://schemas.openxmlformats.org/officeDocument/2006/relationships/hyperlink" Target="https://bazaar.abuse.ch/download/130558bf6046130b0a48d0e9df6f2f9e3648afede53a86c03ffb61b34013c802/" TargetMode="External"/><Relationship Id="rId147" Type="http://schemas.openxmlformats.org/officeDocument/2006/relationships/hyperlink" Target="https://www.virustotal.com/gui/file/6fb1abffa32badf868367605a2828c7cf4012f46faa3b49fc44ab2ac14fad5a4/details" TargetMode="External"/><Relationship Id="rId168" Type="http://schemas.openxmlformats.org/officeDocument/2006/relationships/hyperlink" Target="https://www.cve.org/CVERecord?id=CVE-2018-10562" TargetMode="External"/><Relationship Id="rId51" Type="http://schemas.openxmlformats.org/officeDocument/2006/relationships/hyperlink" Target="https://www.cve.org/CVERecord?id=CVE-2015-2051" TargetMode="External"/><Relationship Id="rId72" Type="http://schemas.openxmlformats.org/officeDocument/2006/relationships/hyperlink" Target="https://www.cve.org/CVERecord?id=CVE-2024-9916" TargetMode="External"/><Relationship Id="rId93" Type="http://schemas.openxmlformats.org/officeDocument/2006/relationships/hyperlink" Target="https://www.cve.org/CVERecord?id=CVE-2024-24328" TargetMode="External"/><Relationship Id="rId189" Type="http://schemas.openxmlformats.org/officeDocument/2006/relationships/hyperlink" Target="https://www.cve.org/CVERecord?id=CVE-2018-10561" TargetMode="External"/><Relationship Id="rId3" Type="http://schemas.openxmlformats.org/officeDocument/2006/relationships/hyperlink" Target="https://virusshare.com/apiv2/download?apikey=AyBZnvviVMkKJ8vOU4LJl7GmG5A0jQ75&amp;hash=fd3606e274f6fa16cb0aadb82c2f06be8dadbef5995843f4520800f9f296e52b" TargetMode="External"/><Relationship Id="rId214" Type="http://schemas.openxmlformats.org/officeDocument/2006/relationships/hyperlink" Target="https://www.cve.org/CVERecord?id=CVE-2024-11120" TargetMode="External"/><Relationship Id="rId235" Type="http://schemas.openxmlformats.org/officeDocument/2006/relationships/hyperlink" Target="https://www.virustotal.com/gui/file/2104898e7d2ec9c4234a13205ecc33605597249521d8ed8ca28638fb12628ce3/summary" TargetMode="External"/><Relationship Id="rId256" Type="http://schemas.openxmlformats.org/officeDocument/2006/relationships/hyperlink" Target="https://www.cve.org/CVERecord?id=CVE-2014-8361" TargetMode="External"/><Relationship Id="rId277" Type="http://schemas.openxmlformats.org/officeDocument/2006/relationships/hyperlink" Target="https://www.cve.org/CVERecord?id=CVE-2017-8225" TargetMode="External"/><Relationship Id="rId298" Type="http://schemas.openxmlformats.org/officeDocument/2006/relationships/hyperlink" Target="https://www.cve.org/CVERecord?id=CVE-2023-6574" TargetMode="External"/><Relationship Id="rId116" Type="http://schemas.openxmlformats.org/officeDocument/2006/relationships/hyperlink" Target="https://www.virustotal.com/gui/file/f2e70e98d225c8009bb9dbca6657d6006bc386655fd49148813f22386005e568" TargetMode="External"/><Relationship Id="rId137" Type="http://schemas.openxmlformats.org/officeDocument/2006/relationships/hyperlink" Target="https://www.virustotal.com/gui/file/c8864a6db3f2fc370968e2cc6216f19b6d469a438f365143ba80e4b1f0a58694" TargetMode="External"/><Relationship Id="rId158" Type="http://schemas.openxmlformats.org/officeDocument/2006/relationships/hyperlink" Target="https://www.cve.org/CVERecord?id=CVE-2014-8361" TargetMode="External"/><Relationship Id="rId20" Type="http://schemas.openxmlformats.org/officeDocument/2006/relationships/hyperlink" Target="https://virusshare.com/apiv2/download?apikey=AyBZnvviVMkKJ8vOU4LJl7GmG5A0jQ75&amp;hash=b7bf02d25f8121fa573a00256672d5a15b70bd86533273042a8c8a026b0e09ae" TargetMode="External"/><Relationship Id="rId41" Type="http://schemas.openxmlformats.org/officeDocument/2006/relationships/hyperlink" Target="https://www.cve.org/CVERecord?id=CVE-2024-45163" TargetMode="External"/><Relationship Id="rId62" Type="http://schemas.openxmlformats.org/officeDocument/2006/relationships/hyperlink" Target="https://www.virustotal.com/gui/file/f852c66455c6052ebe591bc72749b0271f94cf79ea359c88c296d467ff4c89fd/summary" TargetMode="External"/><Relationship Id="rId83" Type="http://schemas.openxmlformats.org/officeDocument/2006/relationships/hyperlink" Target="https://www.virustotal.com/gui/file/b5a5b9c266e84c9304a00f5fc3a37f95344c8d3c2ff04911479da3e1ef258e06" TargetMode="External"/><Relationship Id="rId179" Type="http://schemas.openxmlformats.org/officeDocument/2006/relationships/hyperlink" Target="https://bazaar.abuse.ch/download/d14261d6f7f85b965f070b1076b38c3d91c89754/" TargetMode="External"/><Relationship Id="rId190" Type="http://schemas.openxmlformats.org/officeDocument/2006/relationships/hyperlink" Target="https://www.cve.org/CVERecord?id=CVE-2018-10561" TargetMode="External"/><Relationship Id="rId204" Type="http://schemas.openxmlformats.org/officeDocument/2006/relationships/hyperlink" Target="https://www.virustotal.com/gui/file/0b625b19f44fcf0d5d279b91e1a31797e05822bcecebf5eb89f34fd54e7b943a/details" TargetMode="External"/><Relationship Id="rId225" Type="http://schemas.openxmlformats.org/officeDocument/2006/relationships/hyperlink" Target="https://www.virustotal.com/gui/file/6a126d8e49ffb9e6a25eb5f2841a8eee4b31f71bc7b46ca25c90b4eaf61cf262/details" TargetMode="External"/><Relationship Id="rId246" Type="http://schemas.openxmlformats.org/officeDocument/2006/relationships/hyperlink" Target="https://virusshare.com/apiv2/download?apikey=AyBZnvviVMkKJ8vOU4LJl7GmG5A0jQ75&amp;hash=f2e70e98d225c8009bb9dbca6657d6006bc386655fd49148813f22386005e568" TargetMode="External"/><Relationship Id="rId267" Type="http://schemas.openxmlformats.org/officeDocument/2006/relationships/hyperlink" Target="https://www.virustotal.com/gui/file/d824058d201ab749ee9ca0968bf37e9e1cde38de339672a83e74090752a0892a" TargetMode="External"/><Relationship Id="rId288" Type="http://schemas.openxmlformats.org/officeDocument/2006/relationships/hyperlink" Target="https://www.virustotal.com/gui/file/f77a73b044a608dbad4a9500344e2eda2a1d6a686433d42c87a5e5a665590183" TargetMode="External"/><Relationship Id="rId106" Type="http://schemas.openxmlformats.org/officeDocument/2006/relationships/hyperlink" Target="https://virusshare.com/apiv2/download?apikey=AyBZnvviVMkKJ8vOU4LJl7GmG5A0jQ75&amp;hash=6db2a8b5d5274a406724d17df7a7d1b5e55d3aa74803a4d4f95aa04f69bf6da7" TargetMode="External"/><Relationship Id="rId127" Type="http://schemas.openxmlformats.org/officeDocument/2006/relationships/hyperlink" Target="https://www.virustotal.com/gui/file/130558bf6046130b0a48d0e9df6f2f9e3648afede53a86c03ffb61b34013c802" TargetMode="External"/><Relationship Id="rId10" Type="http://schemas.openxmlformats.org/officeDocument/2006/relationships/hyperlink" Target="https://www.virustotal.com/gui/file/94b5087311b3e58a0e4f569996096e5d6d67ec1fabed0581ab54c0e714a675a7" TargetMode="External"/><Relationship Id="rId31" Type="http://schemas.openxmlformats.org/officeDocument/2006/relationships/hyperlink" Target="https://virusshare.com/apiv2/download?apikey=AyBZnvviVMkKJ8vOU4LJl7GmG5A0jQ75&amp;hash=b7b6e3d995da1f5cb706b2f27bb380628863812bb111f9198fb51dcda404153c" TargetMode="External"/><Relationship Id="rId52" Type="http://schemas.openxmlformats.org/officeDocument/2006/relationships/hyperlink" Target="https://virusshare.com/apiv2/download?apikey=AyBZnvviVMkKJ8vOU4LJl7GmG5A0jQ75&amp;hash=e42ee4d938aeb5a44ea6f16267d27ca10a66a68220f4433d37c5456d5e2b43fb" TargetMode="External"/><Relationship Id="rId73" Type="http://schemas.openxmlformats.org/officeDocument/2006/relationships/hyperlink" Target="https://virusshare.com/apiv2/download?apikey=AyBZnvviVMkKJ8vOU4LJl7GmG5A0jQ75&amp;hash=94bc293f4b66658baff1d97b25aa6b4152565669b501716a80be4c3941ed2e9a" TargetMode="External"/><Relationship Id="rId94" Type="http://schemas.openxmlformats.org/officeDocument/2006/relationships/hyperlink" Target="https://virusshare.com/apiv2/download?apikey=AyBZnvviVMkKJ8vOU4LJl7GmG5A0jQ75&amp;hash=6a126d8e49ffb9e6a25eb5f2841a8eee4b31f71bc7b46ca25c90b4eaf61cf262" TargetMode="External"/><Relationship Id="rId148" Type="http://schemas.openxmlformats.org/officeDocument/2006/relationships/hyperlink" Target="https://www.cve.org/CVERecord?id=CVE-2014-8361" TargetMode="External"/><Relationship Id="rId169" Type="http://schemas.openxmlformats.org/officeDocument/2006/relationships/hyperlink" Target="https://bazaar.abuse.ch/download/91a8ac9cef373cd162c9fdf57f08fcd890c52c38313264d1713eba257e554441/" TargetMode="External"/><Relationship Id="rId4" Type="http://schemas.openxmlformats.org/officeDocument/2006/relationships/hyperlink" Target="https://www.virustotal.com/gui/file/https:/www.virustotal.com/gui/file/fd3606e274f6fa16cb0aadb82c2f06be8dadbef5995843f4520800f9f296e52b/detection" TargetMode="External"/><Relationship Id="rId180" Type="http://schemas.openxmlformats.org/officeDocument/2006/relationships/hyperlink" Target="https://www.virustotal.com/gui/file/60b5b171e979d2079cff3e47bee2fe990a7650e6c0eeffeaee72208adbb4cb69/details" TargetMode="External"/><Relationship Id="rId215" Type="http://schemas.openxmlformats.org/officeDocument/2006/relationships/hyperlink" Target="https://bazaar.abuse.ch/download/97dd9e460f3946eb0b89ae81a0c3890f529ed47f8bd9fd00f161cde2b5903184/" TargetMode="External"/><Relationship Id="rId236" Type="http://schemas.openxmlformats.org/officeDocument/2006/relationships/hyperlink" Target="https://www.cve.org/CVERecord?id=CVE-2024-14007" TargetMode="External"/><Relationship Id="rId257" Type="http://schemas.openxmlformats.org/officeDocument/2006/relationships/hyperlink" Target="https://virusshare.com/apiv2/download?apikey=AyBZnvviVMkKJ8vOU4LJl7GmG5A0jQ75&amp;hash=a1c84ae023c742be66419e5aaa1a4571aa4d81d74bca58cbcbe1bdc1ad157cb5" TargetMode="External"/><Relationship Id="rId278" Type="http://schemas.openxmlformats.org/officeDocument/2006/relationships/hyperlink" Target="https://virusshare.com/apiv2/download?apikey=AyBZnvviVMkKJ8vOU4LJl7GmG5A0jQ75&amp;hash=7052c171f4e7b922c63d810ee3b577d4c52661faf5db1200c1e51aa9f07ccabb" TargetMode="External"/><Relationship Id="rId42" Type="http://schemas.openxmlformats.org/officeDocument/2006/relationships/hyperlink" Target="https://www.cve.org/CVERecord?id=CVE-2024-45163" TargetMode="External"/><Relationship Id="rId84" Type="http://schemas.openxmlformats.org/officeDocument/2006/relationships/hyperlink" Target="https://www.cve.org/CVERecord?id=CVE-2024-12987" TargetMode="External"/><Relationship Id="rId138" Type="http://schemas.openxmlformats.org/officeDocument/2006/relationships/hyperlink" Target="https://www.cve.org/CVERecord/SearchResults?query=CVE-2016-10372" TargetMode="External"/><Relationship Id="rId191" Type="http://schemas.openxmlformats.org/officeDocument/2006/relationships/hyperlink" Target="https://bazaar.abuse.ch/download/7014cd6cd55b5bb516b8e9dd150c0ed6c3bee2a578ae7a8410d581c0fe5ff6fa/" TargetMode="External"/><Relationship Id="rId205" Type="http://schemas.openxmlformats.org/officeDocument/2006/relationships/hyperlink" Target="https://www.cve.org/CVERecord?id=CVE-2025-29635" TargetMode="External"/><Relationship Id="rId247" Type="http://schemas.openxmlformats.org/officeDocument/2006/relationships/hyperlink" Target="https://www.virustotal.com/gui/file/f2e70e98d225c8009bb9dbca6657d6006bc386655fd49148813f22386005e568" TargetMode="External"/><Relationship Id="rId107" Type="http://schemas.openxmlformats.org/officeDocument/2006/relationships/hyperlink" Target="https://www.virustotal.com/gui/file/6db2a8b5d5274a406724d17df7a7d1b5e55d3aa74803a4d4f95aa04f69bf6da7" TargetMode="External"/><Relationship Id="rId289" Type="http://schemas.openxmlformats.org/officeDocument/2006/relationships/hyperlink" Target="https://www.cve.org/CVERecord?id=CVE-2019-16920" TargetMode="External"/><Relationship Id="rId11" Type="http://schemas.openxmlformats.org/officeDocument/2006/relationships/hyperlink" Target="https://www.virustotal.com/gui/file/94b83fd7382bc02adf64c6aca135ec9613da1e055e47a43c6bd8156f17d5d4ff" TargetMode="External"/><Relationship Id="rId53" Type="http://schemas.openxmlformats.org/officeDocument/2006/relationships/hyperlink" Target="https://www.virustotal.com/gui/file/e42ee4d938aeb5a44ea6f16267d27ca10a66a68220f4433d37c5456d5e2b43fb/summary" TargetMode="External"/><Relationship Id="rId149" Type="http://schemas.openxmlformats.org/officeDocument/2006/relationships/hyperlink" Target="https://bazaar.abuse.ch/download/421114c781335aa564154e0a88c87345e5fca232093b39c1695ad6ffcea4b7be/" TargetMode="External"/><Relationship Id="rId95" Type="http://schemas.openxmlformats.org/officeDocument/2006/relationships/hyperlink" Target="https://www.virustotal.com/gui/file/6a126d8e49ffb9e6a25eb5f2841a8eee4b31f71bc7b46ca25c90b4eaf61cf262" TargetMode="External"/><Relationship Id="rId160" Type="http://schemas.openxmlformats.org/officeDocument/2006/relationships/hyperlink" Target="https://bazaar.abuse.ch/download/bdd7e13e31e13596d5df4caf68827934fcca52023e7f299de77d74bdc7275d7c/" TargetMode="External"/><Relationship Id="rId216" Type="http://schemas.openxmlformats.org/officeDocument/2006/relationships/hyperlink" Target="https://www.virustotal.com/gui/file/97dd9e460f3946eb0b89ae81a0c3890f529ed47f8bd9fd00f161cde2b5903184/details" TargetMode="External"/><Relationship Id="rId258" Type="http://schemas.openxmlformats.org/officeDocument/2006/relationships/hyperlink" Target="https://www.virustotal.com/gui/file/a1c84ae023c742be66419e5aaa1a4571aa4d81d74bca58cbcbe1bdc1ad157cb5" TargetMode="External"/><Relationship Id="rId22" Type="http://schemas.openxmlformats.org/officeDocument/2006/relationships/hyperlink" Target="https://www.cve.org/CVERecord?id=CVE-2017-17215" TargetMode="External"/><Relationship Id="rId64" Type="http://schemas.openxmlformats.org/officeDocument/2006/relationships/hyperlink" Target="https://virusshare.com/apiv2/download?apikey=AyBZnvviVMkKJ8vOU4LJl7GmG5A0jQ75&amp;hash=f63a286fb1caf85de08b078e06b982392cb06577fbfa597cb8563f8e59cca31d" TargetMode="External"/><Relationship Id="rId118" Type="http://schemas.openxmlformats.org/officeDocument/2006/relationships/hyperlink" Target="https://virusshare.com/apiv2/download?apikey=AyBZnvviVMkKJ8vOU4LJl7Gm&amp;hash=a1c84ae023c742be66419e5aaa1a4571aa4d81d74bca58cbcbe1bdc1ad157cb5" TargetMode="External"/><Relationship Id="rId171" Type="http://schemas.openxmlformats.org/officeDocument/2006/relationships/hyperlink" Target="https://www.virustotal.com/gui/file/7485626e50595dfc04c3550949988e50859534f7749edb1488e0e010ab88a9ef/details" TargetMode="External"/><Relationship Id="rId227" Type="http://schemas.openxmlformats.org/officeDocument/2006/relationships/hyperlink" Target="https://virusshare.com/apiv2/download?apikey=AyBZnvviVMkKJ8vOU4LJl7GmG5A0jQ75&amp;hash=6a126d8e49ffb9e6a25eb5f2841a8eee4b31f71bc7b46ca25c90b4eaf61cf262" TargetMode="External"/><Relationship Id="rId269" Type="http://schemas.openxmlformats.org/officeDocument/2006/relationships/hyperlink" Target="https://virusshare.com/apiv2/download?apikey=AyBZnvviVMkKJ8vOU4LJl7GmG5A0jQ75&amp;hash=6db2a8b5d5274a406724d17df7a7d1b5e55d3aa74803a4d4f95aa04f69bf6da7" TargetMode="External"/><Relationship Id="rId33" Type="http://schemas.openxmlformats.org/officeDocument/2006/relationships/hyperlink" Target="https://virusshare.com/apiv2/download?apikey=AyBZnvviVMkKJ8vOU4LJl7GmG5A0jQ75&amp;hash=7c2e8c214900221210ca3de3ceaaa7fbc2a442412a6dc05656890a3503b6b1c5" TargetMode="External"/><Relationship Id="rId129" Type="http://schemas.openxmlformats.org/officeDocument/2006/relationships/hyperlink" Target="https://bazaar.abuse.ch/download/7a555055be675d93e8ad1ce7061acb222c383708f148f31c50b0cdda9da0ced9/" TargetMode="External"/><Relationship Id="rId280" Type="http://schemas.openxmlformats.org/officeDocument/2006/relationships/hyperlink" Target="https://www.cve.org/CVERecord?id=CVE-2017-5638" TargetMode="External"/><Relationship Id="rId75" Type="http://schemas.openxmlformats.org/officeDocument/2006/relationships/hyperlink" Target="https://www.cve.org/CVERecord?id=CVE-2023-1389" TargetMode="External"/><Relationship Id="rId140" Type="http://schemas.openxmlformats.org/officeDocument/2006/relationships/hyperlink" Target="https://www.virustotal.com/gui/file/a8f35a473cce881a9663399251eb8ec59f3260fbf409e2997f1d93612fd45f37" TargetMode="External"/><Relationship Id="rId182" Type="http://schemas.openxmlformats.org/officeDocument/2006/relationships/hyperlink" Target="https://bazaar.abuse.ch/download/e9decec9730c894effbb5b0b7686a1883bdf0bc29c6a1e28dede706416632d7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22"/>
  <sheetViews>
    <sheetView tabSelected="1" topLeftCell="D1" workbookViewId="0">
      <pane ySplit="2" topLeftCell="A3" activePane="bottomLeft" state="frozen"/>
      <selection pane="bottomLeft" activeCell="G5" sqref="G5"/>
    </sheetView>
  </sheetViews>
  <sheetFormatPr baseColWidth="10" defaultColWidth="8.88671875" defaultRowHeight="14.4" x14ac:dyDescent="0.3"/>
  <cols>
    <col min="1" max="1" width="5" customWidth="1"/>
    <col min="2" max="2" width="22" customWidth="1"/>
    <col min="3" max="3" width="30" style="13" customWidth="1"/>
    <col min="4" max="4" width="35.88671875" style="13" customWidth="1"/>
    <col min="5" max="5" width="58" customWidth="1"/>
    <col min="6" max="6" width="7" customWidth="1"/>
    <col min="7" max="8" width="44" customWidth="1"/>
    <col min="9" max="9" width="14.6640625" style="16" customWidth="1"/>
    <col min="10" max="10" width="72.6640625" style="19" customWidth="1"/>
    <col min="11" max="11" width="87.21875" style="19" customWidth="1"/>
    <col min="12" max="12" width="8.5546875" style="19" customWidth="1"/>
    <col min="13" max="13" width="86" style="19" customWidth="1"/>
    <col min="14" max="14" width="43.109375" style="19" customWidth="1"/>
    <col min="15" max="15" width="43.33203125" style="19" customWidth="1"/>
    <col min="16" max="16" width="9.88671875" style="19" customWidth="1"/>
    <col min="17" max="17" width="13.6640625" style="19" customWidth="1"/>
    <col min="18" max="18" width="10.44140625" style="19" customWidth="1"/>
    <col min="19" max="19" width="25.5546875" style="19" customWidth="1"/>
    <col min="20" max="20" width="9.88671875" style="19" customWidth="1"/>
    <col min="21" max="22" width="14.6640625" style="19" customWidth="1"/>
    <col min="23" max="23" width="15.77734375" style="19" customWidth="1"/>
    <col min="24" max="24" width="14" style="19" customWidth="1"/>
    <col min="25" max="26" width="14.6640625" style="19" customWidth="1"/>
    <col min="27" max="27" width="16.21875" style="16" customWidth="1"/>
    <col min="28" max="28" width="32" style="16" customWidth="1"/>
    <col min="29" max="29" width="87.33203125" customWidth="1"/>
  </cols>
  <sheetData>
    <row r="1" spans="1:29" x14ac:dyDescent="0.3">
      <c r="C1" s="25" t="s">
        <v>48</v>
      </c>
      <c r="D1" s="25"/>
      <c r="E1" s="25"/>
      <c r="J1" s="26" t="s">
        <v>49</v>
      </c>
      <c r="K1" s="26"/>
      <c r="L1" s="26"/>
      <c r="M1" s="26"/>
      <c r="N1" s="26"/>
      <c r="O1" s="26"/>
      <c r="P1" s="26"/>
      <c r="Q1" s="26"/>
      <c r="R1" s="26"/>
      <c r="S1" s="26"/>
      <c r="T1" s="26"/>
      <c r="U1" s="26"/>
      <c r="V1" s="26"/>
      <c r="W1" s="26"/>
      <c r="X1" s="26"/>
      <c r="Y1" s="26"/>
      <c r="Z1" s="26"/>
      <c r="AA1" s="17"/>
      <c r="AB1" s="17"/>
    </row>
    <row r="2" spans="1:29" ht="31.95" customHeight="1" x14ac:dyDescent="0.3">
      <c r="A2" s="1" t="s">
        <v>47</v>
      </c>
      <c r="B2" s="1" t="s">
        <v>0</v>
      </c>
      <c r="C2" s="1" t="s">
        <v>42</v>
      </c>
      <c r="D2" s="1" t="s">
        <v>43</v>
      </c>
      <c r="E2" s="1" t="s">
        <v>1</v>
      </c>
      <c r="F2" s="1" t="s">
        <v>2</v>
      </c>
      <c r="G2" s="1" t="s">
        <v>18</v>
      </c>
      <c r="H2" s="1" t="s">
        <v>3</v>
      </c>
      <c r="I2" s="12" t="s">
        <v>44</v>
      </c>
      <c r="J2" s="18" t="s">
        <v>52</v>
      </c>
      <c r="K2" s="18" t="s">
        <v>53</v>
      </c>
      <c r="L2" s="18" t="s">
        <v>54</v>
      </c>
      <c r="M2" s="18" t="s">
        <v>55</v>
      </c>
      <c r="N2" s="18" t="s">
        <v>56</v>
      </c>
      <c r="O2" s="18" t="s">
        <v>103</v>
      </c>
      <c r="P2" s="18" t="s">
        <v>57</v>
      </c>
      <c r="Q2" s="18" t="s">
        <v>58</v>
      </c>
      <c r="R2" s="18" t="s">
        <v>59</v>
      </c>
      <c r="S2" s="18" t="s">
        <v>60</v>
      </c>
      <c r="T2" s="18" t="s">
        <v>61</v>
      </c>
      <c r="U2" s="18" t="s">
        <v>62</v>
      </c>
      <c r="V2" s="18" t="s">
        <v>63</v>
      </c>
      <c r="W2" s="18" t="s">
        <v>86</v>
      </c>
      <c r="X2" s="18" t="s">
        <v>87</v>
      </c>
      <c r="Y2" s="18" t="s">
        <v>64</v>
      </c>
      <c r="Z2" s="18" t="s">
        <v>65</v>
      </c>
      <c r="AA2" s="12" t="s">
        <v>50</v>
      </c>
      <c r="AB2" s="12" t="s">
        <v>51</v>
      </c>
      <c r="AC2" s="1" t="s">
        <v>95</v>
      </c>
    </row>
    <row r="3" spans="1:29" ht="48" customHeight="1" x14ac:dyDescent="0.3">
      <c r="A3" s="27">
        <v>1</v>
      </c>
      <c r="B3" s="10" t="s">
        <v>10</v>
      </c>
      <c r="C3" s="8" t="s">
        <v>45</v>
      </c>
      <c r="D3" s="8" t="s">
        <v>46</v>
      </c>
      <c r="E3" s="7" t="s">
        <v>11</v>
      </c>
      <c r="F3" s="8">
        <v>2017</v>
      </c>
      <c r="G3" s="9" t="s">
        <v>15</v>
      </c>
      <c r="H3" s="9" t="s">
        <v>12</v>
      </c>
      <c r="I3" s="14">
        <f>46/65</f>
        <v>0.70769230769230773</v>
      </c>
      <c r="J3" s="22" t="s">
        <v>115</v>
      </c>
      <c r="K3" s="22" t="s">
        <v>116</v>
      </c>
      <c r="L3" s="22" t="s">
        <v>70</v>
      </c>
      <c r="M3" s="22" t="s">
        <v>117</v>
      </c>
      <c r="N3" s="22" t="s">
        <v>118</v>
      </c>
      <c r="O3" s="22" t="s">
        <v>119</v>
      </c>
      <c r="P3" s="22" t="s">
        <v>70</v>
      </c>
      <c r="Q3" s="22" t="s">
        <v>121</v>
      </c>
      <c r="R3" s="22" t="s">
        <v>90</v>
      </c>
      <c r="S3" s="22" t="s">
        <v>122</v>
      </c>
      <c r="T3" s="22" t="s">
        <v>78</v>
      </c>
      <c r="U3" s="22" t="s">
        <v>79</v>
      </c>
      <c r="V3" s="22" t="s">
        <v>123</v>
      </c>
      <c r="W3" s="22" t="s">
        <v>124</v>
      </c>
      <c r="X3" s="22" t="s">
        <v>109</v>
      </c>
      <c r="Y3" s="22" t="s">
        <v>81</v>
      </c>
      <c r="Z3" s="22" t="s">
        <v>125</v>
      </c>
      <c r="AA3" s="23" t="s">
        <v>93</v>
      </c>
      <c r="AB3" s="14" t="s">
        <v>96</v>
      </c>
      <c r="AC3" s="10" t="s">
        <v>94</v>
      </c>
    </row>
    <row r="4" spans="1:29" ht="48" customHeight="1" x14ac:dyDescent="0.3">
      <c r="A4" s="27">
        <v>2</v>
      </c>
      <c r="B4" s="10" t="s">
        <v>8</v>
      </c>
      <c r="C4" s="8" t="s">
        <v>97</v>
      </c>
      <c r="D4" s="8" t="s">
        <v>98</v>
      </c>
      <c r="E4" s="10" t="s">
        <v>13</v>
      </c>
      <c r="F4" s="8">
        <v>2017</v>
      </c>
      <c r="G4" s="9" t="s">
        <v>33</v>
      </c>
      <c r="H4" s="9" t="s">
        <v>14</v>
      </c>
      <c r="I4" s="14">
        <f>44/65</f>
        <v>0.67692307692307696</v>
      </c>
      <c r="J4" s="22" t="s">
        <v>99</v>
      </c>
      <c r="K4" s="22" t="s">
        <v>100</v>
      </c>
      <c r="L4" s="22" t="s">
        <v>70</v>
      </c>
      <c r="M4" s="22" t="s">
        <v>101</v>
      </c>
      <c r="N4" s="22" t="s">
        <v>102</v>
      </c>
      <c r="O4" s="22" t="s">
        <v>104</v>
      </c>
      <c r="P4" s="22" t="s">
        <v>70</v>
      </c>
      <c r="Q4" s="22" t="s">
        <v>105</v>
      </c>
      <c r="R4" s="22" t="s">
        <v>90</v>
      </c>
      <c r="S4" s="22" t="s">
        <v>106</v>
      </c>
      <c r="T4" s="22" t="s">
        <v>78</v>
      </c>
      <c r="U4" s="22" t="s">
        <v>107</v>
      </c>
      <c r="V4" s="22" t="s">
        <v>80</v>
      </c>
      <c r="W4" s="22" t="s">
        <v>111</v>
      </c>
      <c r="X4" s="22" t="s">
        <v>109</v>
      </c>
      <c r="Y4" s="22" t="s">
        <v>81</v>
      </c>
      <c r="Z4" s="22" t="s">
        <v>110</v>
      </c>
      <c r="AA4" s="23" t="s">
        <v>113</v>
      </c>
      <c r="AB4" s="14" t="s">
        <v>112</v>
      </c>
      <c r="AC4" s="10" t="s">
        <v>114</v>
      </c>
    </row>
    <row r="5" spans="1:29" ht="48" customHeight="1" x14ac:dyDescent="0.3">
      <c r="A5" s="27">
        <v>3</v>
      </c>
      <c r="B5" s="10" t="s">
        <v>8</v>
      </c>
      <c r="C5" s="8" t="s">
        <v>127</v>
      </c>
      <c r="D5" s="8" t="s">
        <v>126</v>
      </c>
      <c r="E5" s="10" t="s">
        <v>16</v>
      </c>
      <c r="F5" s="8">
        <v>2017</v>
      </c>
      <c r="G5" s="9" t="s">
        <v>41</v>
      </c>
      <c r="H5" s="9" t="s">
        <v>17</v>
      </c>
      <c r="I5" s="14">
        <f>47/67</f>
        <v>0.70149253731343286</v>
      </c>
      <c r="J5" s="22" t="s">
        <v>128</v>
      </c>
      <c r="K5" s="22" t="s">
        <v>129</v>
      </c>
      <c r="L5" s="22" t="s">
        <v>70</v>
      </c>
      <c r="M5" s="22" t="s">
        <v>131</v>
      </c>
      <c r="N5" s="22" t="s">
        <v>118</v>
      </c>
      <c r="O5" s="22" t="s">
        <v>132</v>
      </c>
      <c r="P5" s="22" t="s">
        <v>70</v>
      </c>
      <c r="Q5" s="22" t="s">
        <v>133</v>
      </c>
      <c r="R5" s="22" t="s">
        <v>90</v>
      </c>
      <c r="S5" s="22" t="s">
        <v>122</v>
      </c>
      <c r="T5" s="22" t="s">
        <v>78</v>
      </c>
      <c r="U5" s="22" t="s">
        <v>135</v>
      </c>
      <c r="V5" s="22" t="s">
        <v>80</v>
      </c>
      <c r="W5" s="22" t="s">
        <v>136</v>
      </c>
      <c r="X5" s="22" t="s">
        <v>109</v>
      </c>
      <c r="Y5" s="22" t="s">
        <v>81</v>
      </c>
      <c r="Z5" s="22" t="s">
        <v>82</v>
      </c>
      <c r="AA5" s="23" t="s">
        <v>140</v>
      </c>
      <c r="AB5" s="14" t="s">
        <v>141</v>
      </c>
      <c r="AC5" s="10" t="s">
        <v>142</v>
      </c>
    </row>
    <row r="6" spans="1:29" ht="48" customHeight="1" x14ac:dyDescent="0.3">
      <c r="A6" s="27">
        <v>4</v>
      </c>
      <c r="B6" s="10" t="s">
        <v>8</v>
      </c>
      <c r="C6" s="8" t="s">
        <v>144</v>
      </c>
      <c r="D6" s="8" t="s">
        <v>143</v>
      </c>
      <c r="E6" s="10" t="s">
        <v>19</v>
      </c>
      <c r="F6" s="8">
        <v>2017</v>
      </c>
      <c r="G6" s="9" t="s">
        <v>40</v>
      </c>
      <c r="H6" s="9" t="s">
        <v>20</v>
      </c>
      <c r="I6" s="14">
        <f>43/65</f>
        <v>0.66153846153846152</v>
      </c>
      <c r="J6" s="22" t="s">
        <v>145</v>
      </c>
      <c r="K6" s="22" t="s">
        <v>146</v>
      </c>
      <c r="L6" s="22" t="s">
        <v>70</v>
      </c>
      <c r="M6" s="22" t="s">
        <v>71</v>
      </c>
      <c r="N6" s="22" t="s">
        <v>73</v>
      </c>
      <c r="O6" s="22" t="s">
        <v>74</v>
      </c>
      <c r="P6" s="22" t="s">
        <v>70</v>
      </c>
      <c r="Q6" s="22" t="s">
        <v>147</v>
      </c>
      <c r="R6" s="22" t="s">
        <v>76</v>
      </c>
      <c r="S6" s="22" t="s">
        <v>77</v>
      </c>
      <c r="T6" s="22" t="s">
        <v>78</v>
      </c>
      <c r="U6" s="22" t="s">
        <v>107</v>
      </c>
      <c r="V6" s="22" t="s">
        <v>80</v>
      </c>
      <c r="W6" s="22" t="s">
        <v>148</v>
      </c>
      <c r="X6" s="22" t="s">
        <v>109</v>
      </c>
      <c r="Y6" s="22" t="s">
        <v>81</v>
      </c>
      <c r="Z6" s="22" t="s">
        <v>82</v>
      </c>
      <c r="AA6" s="23" t="s">
        <v>93</v>
      </c>
      <c r="AB6" s="14" t="s">
        <v>96</v>
      </c>
      <c r="AC6" s="10" t="s">
        <v>94</v>
      </c>
    </row>
    <row r="7" spans="1:29" ht="48" customHeight="1" x14ac:dyDescent="0.3">
      <c r="A7" s="27">
        <v>5</v>
      </c>
      <c r="B7" s="10" t="s">
        <v>8</v>
      </c>
      <c r="C7" s="8" t="s">
        <v>149</v>
      </c>
      <c r="D7" s="8" t="s">
        <v>150</v>
      </c>
      <c r="E7" s="10" t="s">
        <v>21</v>
      </c>
      <c r="F7" s="8">
        <v>2017</v>
      </c>
      <c r="G7" s="9" t="s">
        <v>39</v>
      </c>
      <c r="H7" s="9" t="s">
        <v>22</v>
      </c>
      <c r="I7" s="14">
        <f>42/62</f>
        <v>0.67741935483870963</v>
      </c>
      <c r="J7" s="22" t="s">
        <v>151</v>
      </c>
      <c r="K7" s="22" t="s">
        <v>152</v>
      </c>
      <c r="L7" s="22" t="s">
        <v>70</v>
      </c>
      <c r="M7" s="22" t="s">
        <v>153</v>
      </c>
      <c r="N7" s="22" t="s">
        <v>73</v>
      </c>
      <c r="O7" s="22" t="s">
        <v>615</v>
      </c>
      <c r="P7" s="22" t="s">
        <v>615</v>
      </c>
      <c r="Q7" s="22" t="s">
        <v>155</v>
      </c>
      <c r="R7" s="22" t="s">
        <v>90</v>
      </c>
      <c r="S7" s="22" t="s">
        <v>77</v>
      </c>
      <c r="T7" s="22" t="s">
        <v>156</v>
      </c>
      <c r="U7" s="22" t="s">
        <v>79</v>
      </c>
      <c r="V7" s="22" t="s">
        <v>123</v>
      </c>
      <c r="W7" s="22" t="s">
        <v>124</v>
      </c>
      <c r="X7" s="22" t="s">
        <v>85</v>
      </c>
      <c r="Y7" s="22" t="s">
        <v>81</v>
      </c>
      <c r="Z7" s="22" t="s">
        <v>125</v>
      </c>
      <c r="AA7" s="23" t="s">
        <v>140</v>
      </c>
      <c r="AB7" s="28" t="s">
        <v>141</v>
      </c>
      <c r="AC7" s="10" t="s">
        <v>142</v>
      </c>
    </row>
    <row r="8" spans="1:29" ht="48" customHeight="1" x14ac:dyDescent="0.3">
      <c r="A8" s="27">
        <v>6</v>
      </c>
      <c r="B8" s="10" t="s">
        <v>8</v>
      </c>
      <c r="C8" s="8" t="s">
        <v>157</v>
      </c>
      <c r="D8" s="8" t="s">
        <v>158</v>
      </c>
      <c r="E8" s="10" t="s">
        <v>23</v>
      </c>
      <c r="F8" s="8">
        <v>2017</v>
      </c>
      <c r="G8" s="9" t="s">
        <v>38</v>
      </c>
      <c r="H8" s="9" t="s">
        <v>24</v>
      </c>
      <c r="I8" s="14">
        <f>39/62</f>
        <v>0.62903225806451613</v>
      </c>
      <c r="J8" s="22" t="s">
        <v>159</v>
      </c>
      <c r="K8" s="22" t="s">
        <v>160</v>
      </c>
      <c r="L8" s="22" t="s">
        <v>70</v>
      </c>
      <c r="M8" s="22" t="s">
        <v>161</v>
      </c>
      <c r="N8" s="22" t="s">
        <v>73</v>
      </c>
      <c r="O8" s="22" t="s">
        <v>162</v>
      </c>
      <c r="P8" s="22" t="s">
        <v>70</v>
      </c>
      <c r="Q8" s="22" t="s">
        <v>163</v>
      </c>
      <c r="R8" s="22" t="s">
        <v>76</v>
      </c>
      <c r="S8" s="22" t="s">
        <v>77</v>
      </c>
      <c r="T8" s="22" t="s">
        <v>78</v>
      </c>
      <c r="U8" s="22" t="s">
        <v>79</v>
      </c>
      <c r="V8" s="22" t="s">
        <v>123</v>
      </c>
      <c r="W8" s="22" t="s">
        <v>164</v>
      </c>
      <c r="X8" s="22" t="s">
        <v>109</v>
      </c>
      <c r="Y8" s="22" t="s">
        <v>81</v>
      </c>
      <c r="Z8" s="22" t="s">
        <v>165</v>
      </c>
      <c r="AA8" s="23" t="s">
        <v>93</v>
      </c>
      <c r="AB8" s="14" t="s">
        <v>96</v>
      </c>
      <c r="AC8" s="10" t="s">
        <v>94</v>
      </c>
    </row>
    <row r="9" spans="1:29" ht="48" customHeight="1" x14ac:dyDescent="0.3">
      <c r="A9" s="27">
        <v>7</v>
      </c>
      <c r="B9" s="10" t="s">
        <v>8</v>
      </c>
      <c r="C9" s="8" t="s">
        <v>166</v>
      </c>
      <c r="D9" s="8" t="s">
        <v>167</v>
      </c>
      <c r="E9" s="10" t="s">
        <v>25</v>
      </c>
      <c r="F9" s="8">
        <v>2017</v>
      </c>
      <c r="G9" s="9" t="s">
        <v>37</v>
      </c>
      <c r="H9" s="9" t="s">
        <v>26</v>
      </c>
      <c r="I9" s="14">
        <f>44/63</f>
        <v>0.69841269841269837</v>
      </c>
      <c r="J9" s="22" t="s">
        <v>168</v>
      </c>
      <c r="K9" s="22" t="s">
        <v>169</v>
      </c>
      <c r="L9" s="22" t="s">
        <v>70</v>
      </c>
      <c r="M9" s="22" t="s">
        <v>170</v>
      </c>
      <c r="N9" s="22" t="s">
        <v>118</v>
      </c>
      <c r="O9" s="22" t="s">
        <v>171</v>
      </c>
      <c r="P9" s="22" t="s">
        <v>70</v>
      </c>
      <c r="Q9" s="22" t="s">
        <v>172</v>
      </c>
      <c r="R9" s="22" t="s">
        <v>173</v>
      </c>
      <c r="S9" s="22" t="s">
        <v>122</v>
      </c>
      <c r="T9" s="22" t="s">
        <v>78</v>
      </c>
      <c r="U9" s="22" t="s">
        <v>79</v>
      </c>
      <c r="V9" s="22" t="s">
        <v>123</v>
      </c>
      <c r="W9" s="22" t="s">
        <v>174</v>
      </c>
      <c r="X9" s="22" t="s">
        <v>109</v>
      </c>
      <c r="Y9" s="22" t="s">
        <v>81</v>
      </c>
      <c r="Z9" s="22" t="s">
        <v>82</v>
      </c>
      <c r="AA9" s="23" t="s">
        <v>175</v>
      </c>
      <c r="AB9" s="14" t="s">
        <v>176</v>
      </c>
      <c r="AC9" s="10" t="s">
        <v>177</v>
      </c>
    </row>
    <row r="10" spans="1:29" ht="48" customHeight="1" x14ac:dyDescent="0.3">
      <c r="A10" s="27">
        <v>8</v>
      </c>
      <c r="B10" s="10" t="s">
        <v>8</v>
      </c>
      <c r="C10" s="8" t="s">
        <v>178</v>
      </c>
      <c r="D10" s="8" t="s">
        <v>179</v>
      </c>
      <c r="E10" s="10" t="s">
        <v>27</v>
      </c>
      <c r="F10" s="8">
        <v>2017</v>
      </c>
      <c r="G10" s="9" t="s">
        <v>36</v>
      </c>
      <c r="H10" s="9" t="s">
        <v>28</v>
      </c>
      <c r="I10" s="14">
        <f>47/67</f>
        <v>0.70149253731343286</v>
      </c>
      <c r="J10" s="22" t="s">
        <v>180</v>
      </c>
      <c r="K10" s="22" t="s">
        <v>181</v>
      </c>
      <c r="L10" s="22" t="s">
        <v>70</v>
      </c>
      <c r="M10" s="22" t="s">
        <v>71</v>
      </c>
      <c r="N10" s="22" t="s">
        <v>73</v>
      </c>
      <c r="O10" s="22" t="s">
        <v>89</v>
      </c>
      <c r="P10" s="22" t="s">
        <v>70</v>
      </c>
      <c r="Q10" s="22" t="s">
        <v>182</v>
      </c>
      <c r="R10" s="22" t="s">
        <v>76</v>
      </c>
      <c r="S10" s="22" t="s">
        <v>77</v>
      </c>
      <c r="T10" s="22" t="s">
        <v>78</v>
      </c>
      <c r="U10" s="22" t="s">
        <v>79</v>
      </c>
      <c r="V10" s="22" t="s">
        <v>123</v>
      </c>
      <c r="W10" s="22" t="s">
        <v>83</v>
      </c>
      <c r="X10" s="22" t="s">
        <v>109</v>
      </c>
      <c r="Y10" s="22" t="s">
        <v>81</v>
      </c>
      <c r="Z10" s="22" t="s">
        <v>82</v>
      </c>
      <c r="AA10" s="23" t="s">
        <v>183</v>
      </c>
      <c r="AB10" s="14" t="s">
        <v>184</v>
      </c>
      <c r="AC10" s="10" t="s">
        <v>185</v>
      </c>
    </row>
    <row r="11" spans="1:29" ht="48" customHeight="1" x14ac:dyDescent="0.3">
      <c r="A11" s="27">
        <v>9</v>
      </c>
      <c r="B11" s="10" t="s">
        <v>8</v>
      </c>
      <c r="C11" s="8" t="s">
        <v>186</v>
      </c>
      <c r="D11" s="8" t="s">
        <v>187</v>
      </c>
      <c r="E11" s="10" t="s">
        <v>29</v>
      </c>
      <c r="F11" s="8">
        <v>2017</v>
      </c>
      <c r="G11" s="9" t="s">
        <v>35</v>
      </c>
      <c r="H11" s="9" t="s">
        <v>30</v>
      </c>
      <c r="I11" s="14">
        <f>41/61</f>
        <v>0.67213114754098358</v>
      </c>
      <c r="J11" s="22" t="s">
        <v>188</v>
      </c>
      <c r="K11" s="22" t="s">
        <v>189</v>
      </c>
      <c r="L11" s="22" t="s">
        <v>190</v>
      </c>
      <c r="M11" s="22" t="s">
        <v>153</v>
      </c>
      <c r="N11" s="22" t="s">
        <v>73</v>
      </c>
      <c r="O11" s="22" t="s">
        <v>615</v>
      </c>
      <c r="P11" s="22" t="s">
        <v>615</v>
      </c>
      <c r="Q11" s="22" t="s">
        <v>192</v>
      </c>
      <c r="R11" s="22" t="s">
        <v>90</v>
      </c>
      <c r="S11" s="22" t="s">
        <v>77</v>
      </c>
      <c r="T11" s="22" t="s">
        <v>193</v>
      </c>
      <c r="U11" s="22" t="s">
        <v>79</v>
      </c>
      <c r="V11" s="22" t="s">
        <v>123</v>
      </c>
      <c r="W11" s="22" t="s">
        <v>124</v>
      </c>
      <c r="X11" s="22" t="s">
        <v>109</v>
      </c>
      <c r="Y11" s="22" t="s">
        <v>81</v>
      </c>
      <c r="Z11" s="22" t="s">
        <v>125</v>
      </c>
      <c r="AA11" s="23" t="s">
        <v>175</v>
      </c>
      <c r="AB11" s="14" t="s">
        <v>176</v>
      </c>
      <c r="AC11" s="10" t="s">
        <v>177</v>
      </c>
    </row>
    <row r="12" spans="1:29" ht="48" customHeight="1" x14ac:dyDescent="0.3">
      <c r="A12" s="27">
        <v>10</v>
      </c>
      <c r="B12" s="10" t="s">
        <v>8</v>
      </c>
      <c r="C12" s="8" t="s">
        <v>67</v>
      </c>
      <c r="D12" s="8" t="s">
        <v>66</v>
      </c>
      <c r="E12" s="10" t="s">
        <v>31</v>
      </c>
      <c r="F12" s="8">
        <v>2017</v>
      </c>
      <c r="G12" s="9" t="s">
        <v>34</v>
      </c>
      <c r="H12" s="9" t="s">
        <v>32</v>
      </c>
      <c r="I12" s="14">
        <f>44/65</f>
        <v>0.67692307692307696</v>
      </c>
      <c r="J12" s="29" t="s">
        <v>68</v>
      </c>
      <c r="K12" s="30" t="s">
        <v>69</v>
      </c>
      <c r="L12" s="22" t="s">
        <v>70</v>
      </c>
      <c r="M12" s="22" t="s">
        <v>88</v>
      </c>
      <c r="N12" s="29" t="s">
        <v>89</v>
      </c>
      <c r="O12" s="22" t="s">
        <v>89</v>
      </c>
      <c r="P12" s="22" t="s">
        <v>70</v>
      </c>
      <c r="Q12" s="22" t="s">
        <v>91</v>
      </c>
      <c r="R12" s="22" t="s">
        <v>90</v>
      </c>
      <c r="S12" s="22" t="s">
        <v>92</v>
      </c>
      <c r="T12" s="22" t="s">
        <v>78</v>
      </c>
      <c r="U12" s="22" t="s">
        <v>79</v>
      </c>
      <c r="V12" s="22" t="s">
        <v>80</v>
      </c>
      <c r="W12" s="22" t="s">
        <v>83</v>
      </c>
      <c r="X12" s="22" t="s">
        <v>85</v>
      </c>
      <c r="Y12" s="22" t="s">
        <v>81</v>
      </c>
      <c r="Z12" s="22" t="s">
        <v>82</v>
      </c>
      <c r="AA12" s="23" t="s">
        <v>194</v>
      </c>
      <c r="AB12" s="14" t="s">
        <v>195</v>
      </c>
      <c r="AC12" s="10" t="s">
        <v>196</v>
      </c>
    </row>
    <row r="13" spans="1:29" ht="48" customHeight="1" x14ac:dyDescent="0.3">
      <c r="A13" s="27">
        <v>11</v>
      </c>
      <c r="B13" s="10" t="s">
        <v>8</v>
      </c>
      <c r="C13" s="8" t="s">
        <v>197</v>
      </c>
      <c r="D13" s="8" t="s">
        <v>198</v>
      </c>
      <c r="E13" s="10" t="s">
        <v>199</v>
      </c>
      <c r="F13" s="8">
        <v>2017</v>
      </c>
      <c r="G13" s="9" t="s">
        <v>200</v>
      </c>
      <c r="H13" s="9" t="s">
        <v>201</v>
      </c>
      <c r="I13" s="15">
        <f>42/62</f>
        <v>0.67741935483870963</v>
      </c>
      <c r="J13" s="20" t="s">
        <v>202</v>
      </c>
      <c r="K13" s="20" t="s">
        <v>203</v>
      </c>
      <c r="L13" s="20" t="s">
        <v>70</v>
      </c>
      <c r="M13" s="20" t="s">
        <v>204</v>
      </c>
      <c r="N13" s="20" t="s">
        <v>205</v>
      </c>
      <c r="O13" s="20" t="s">
        <v>615</v>
      </c>
      <c r="P13" s="20" t="s">
        <v>615</v>
      </c>
      <c r="Q13" s="20" t="s">
        <v>206</v>
      </c>
      <c r="R13" s="20" t="s">
        <v>76</v>
      </c>
      <c r="S13" s="20" t="s">
        <v>106</v>
      </c>
      <c r="T13" s="20" t="s">
        <v>193</v>
      </c>
      <c r="U13" s="20" t="s">
        <v>107</v>
      </c>
      <c r="V13" s="20" t="s">
        <v>123</v>
      </c>
      <c r="W13" s="20" t="s">
        <v>136</v>
      </c>
      <c r="X13" s="20" t="s">
        <v>85</v>
      </c>
      <c r="Y13" s="20" t="s">
        <v>139</v>
      </c>
      <c r="Z13" s="20" t="s">
        <v>207</v>
      </c>
      <c r="AA13" s="21" t="s">
        <v>140</v>
      </c>
      <c r="AB13" s="14" t="s">
        <v>141</v>
      </c>
      <c r="AC13" s="10" t="s">
        <v>142</v>
      </c>
    </row>
    <row r="14" spans="1:29" ht="48" customHeight="1" x14ac:dyDescent="0.3">
      <c r="A14" s="27">
        <v>12</v>
      </c>
      <c r="B14" s="10" t="s">
        <v>8</v>
      </c>
      <c r="C14" s="8" t="s">
        <v>208</v>
      </c>
      <c r="D14" s="8" t="s">
        <v>209</v>
      </c>
      <c r="E14" s="10" t="s">
        <v>216</v>
      </c>
      <c r="F14" s="8">
        <v>2005</v>
      </c>
      <c r="G14" s="9" t="s">
        <v>210</v>
      </c>
      <c r="H14" s="9" t="s">
        <v>211</v>
      </c>
      <c r="I14" s="15">
        <f>46/67</f>
        <v>0.68656716417910446</v>
      </c>
      <c r="J14" s="20" t="s">
        <v>212</v>
      </c>
      <c r="K14" s="20" t="s">
        <v>213</v>
      </c>
      <c r="L14" s="20" t="s">
        <v>70</v>
      </c>
      <c r="M14" s="20" t="s">
        <v>71</v>
      </c>
      <c r="N14" s="20" t="s">
        <v>73</v>
      </c>
      <c r="O14" s="20" t="s">
        <v>74</v>
      </c>
      <c r="P14" s="20" t="s">
        <v>214</v>
      </c>
      <c r="Q14" s="20" t="s">
        <v>215</v>
      </c>
      <c r="R14" s="20" t="s">
        <v>90</v>
      </c>
      <c r="S14" s="20" t="s">
        <v>77</v>
      </c>
      <c r="T14" s="20" t="s">
        <v>78</v>
      </c>
      <c r="U14" s="20" t="s">
        <v>79</v>
      </c>
      <c r="V14" s="20" t="s">
        <v>80</v>
      </c>
      <c r="W14" s="20" t="s">
        <v>148</v>
      </c>
      <c r="X14" s="20" t="s">
        <v>84</v>
      </c>
      <c r="Y14" s="20" t="s">
        <v>81</v>
      </c>
      <c r="Z14" s="20" t="s">
        <v>82</v>
      </c>
      <c r="AA14" s="21" t="s">
        <v>93</v>
      </c>
      <c r="AB14" s="14" t="s">
        <v>96</v>
      </c>
      <c r="AC14" s="24" t="s">
        <v>94</v>
      </c>
    </row>
    <row r="15" spans="1:29" ht="48" customHeight="1" x14ac:dyDescent="0.3">
      <c r="A15" s="27">
        <v>13</v>
      </c>
      <c r="B15" s="10" t="s">
        <v>8</v>
      </c>
      <c r="C15" s="8" t="s">
        <v>217</v>
      </c>
      <c r="D15" s="8" t="s">
        <v>218</v>
      </c>
      <c r="E15" s="10" t="s">
        <v>219</v>
      </c>
      <c r="F15" s="8">
        <v>2017</v>
      </c>
      <c r="G15" s="9" t="s">
        <v>220</v>
      </c>
      <c r="H15" s="9" t="s">
        <v>221</v>
      </c>
      <c r="I15" s="15">
        <f>36/62</f>
        <v>0.58064516129032262</v>
      </c>
      <c r="J15" s="20" t="s">
        <v>222</v>
      </c>
      <c r="K15" s="20" t="s">
        <v>223</v>
      </c>
      <c r="L15" s="20" t="s">
        <v>70</v>
      </c>
      <c r="M15" s="20" t="s">
        <v>224</v>
      </c>
      <c r="N15" s="20" t="s">
        <v>118</v>
      </c>
      <c r="O15" s="20" t="s">
        <v>615</v>
      </c>
      <c r="P15" s="20" t="s">
        <v>615</v>
      </c>
      <c r="Q15" s="20" t="s">
        <v>225</v>
      </c>
      <c r="R15" s="20" t="s">
        <v>90</v>
      </c>
      <c r="S15" s="20" t="s">
        <v>106</v>
      </c>
      <c r="T15" s="20" t="s">
        <v>78</v>
      </c>
      <c r="U15" s="20" t="s">
        <v>107</v>
      </c>
      <c r="V15" s="20" t="s">
        <v>123</v>
      </c>
      <c r="W15" s="20" t="s">
        <v>226</v>
      </c>
      <c r="X15" s="20" t="s">
        <v>109</v>
      </c>
      <c r="Y15" s="20" t="s">
        <v>81</v>
      </c>
      <c r="Z15" s="20" t="s">
        <v>82</v>
      </c>
      <c r="AA15" s="21" t="s">
        <v>238</v>
      </c>
      <c r="AB15" s="14" t="s">
        <v>239</v>
      </c>
      <c r="AC15" s="24" t="s">
        <v>94</v>
      </c>
    </row>
    <row r="16" spans="1:29" ht="48" customHeight="1" x14ac:dyDescent="0.3">
      <c r="A16" s="27">
        <v>14</v>
      </c>
      <c r="B16" s="10" t="s">
        <v>8</v>
      </c>
      <c r="C16" s="8" t="s">
        <v>227</v>
      </c>
      <c r="D16" s="8" t="s">
        <v>228</v>
      </c>
      <c r="E16" s="10" t="s">
        <v>229</v>
      </c>
      <c r="F16" s="8">
        <v>2017</v>
      </c>
      <c r="G16" s="9" t="s">
        <v>230</v>
      </c>
      <c r="H16" s="9" t="s">
        <v>231</v>
      </c>
      <c r="I16" s="15">
        <f>45/67</f>
        <v>0.67164179104477617</v>
      </c>
      <c r="J16" s="20" t="s">
        <v>232</v>
      </c>
      <c r="K16" s="20" t="s">
        <v>233</v>
      </c>
      <c r="L16" s="20" t="s">
        <v>70</v>
      </c>
      <c r="M16" s="20" t="s">
        <v>234</v>
      </c>
      <c r="N16" s="20" t="s">
        <v>72</v>
      </c>
      <c r="O16" s="20" t="s">
        <v>235</v>
      </c>
      <c r="P16" s="20" t="s">
        <v>70</v>
      </c>
      <c r="Q16" s="20" t="s">
        <v>236</v>
      </c>
      <c r="R16" s="20" t="s">
        <v>76</v>
      </c>
      <c r="S16" s="20" t="s">
        <v>77</v>
      </c>
      <c r="T16" s="20" t="s">
        <v>193</v>
      </c>
      <c r="U16" s="20" t="s">
        <v>107</v>
      </c>
      <c r="V16" s="20" t="s">
        <v>123</v>
      </c>
      <c r="W16" s="20" t="s">
        <v>237</v>
      </c>
      <c r="X16" s="20" t="s">
        <v>84</v>
      </c>
      <c r="Y16" s="31">
        <v>3</v>
      </c>
      <c r="Z16" s="20" t="s">
        <v>82</v>
      </c>
      <c r="AA16" s="21" t="s">
        <v>240</v>
      </c>
      <c r="AB16" s="14" t="s">
        <v>241</v>
      </c>
      <c r="AC16" s="24" t="s">
        <v>94</v>
      </c>
    </row>
    <row r="17" spans="1:29" ht="48" customHeight="1" x14ac:dyDescent="0.3">
      <c r="A17" s="27">
        <v>15</v>
      </c>
      <c r="B17" s="10" t="s">
        <v>8</v>
      </c>
      <c r="C17" s="8" t="s">
        <v>242</v>
      </c>
      <c r="D17" s="8" t="s">
        <v>243</v>
      </c>
      <c r="E17" s="10" t="s">
        <v>244</v>
      </c>
      <c r="F17" s="8">
        <v>2017</v>
      </c>
      <c r="G17" s="9" t="s">
        <v>245</v>
      </c>
      <c r="H17" s="9" t="s">
        <v>246</v>
      </c>
      <c r="I17" s="15">
        <f>45/64</f>
        <v>0.703125</v>
      </c>
      <c r="J17" s="20" t="s">
        <v>247</v>
      </c>
      <c r="K17" s="20" t="s">
        <v>248</v>
      </c>
      <c r="L17" s="20" t="s">
        <v>70</v>
      </c>
      <c r="M17" s="20" t="s">
        <v>153</v>
      </c>
      <c r="N17" s="20" t="s">
        <v>73</v>
      </c>
      <c r="O17" s="20" t="s">
        <v>249</v>
      </c>
      <c r="P17" s="20" t="s">
        <v>70</v>
      </c>
      <c r="Q17" s="20" t="s">
        <v>192</v>
      </c>
      <c r="R17" s="20" t="s">
        <v>90</v>
      </c>
      <c r="S17" s="20" t="s">
        <v>92</v>
      </c>
      <c r="T17" s="20" t="s">
        <v>193</v>
      </c>
      <c r="U17" s="20" t="s">
        <v>107</v>
      </c>
      <c r="V17" s="20" t="s">
        <v>80</v>
      </c>
      <c r="W17" s="20" t="s">
        <v>124</v>
      </c>
      <c r="X17" s="20" t="s">
        <v>109</v>
      </c>
      <c r="Y17" s="20" t="s">
        <v>81</v>
      </c>
      <c r="Z17" s="20" t="s">
        <v>125</v>
      </c>
      <c r="AA17" s="21" t="s">
        <v>260</v>
      </c>
      <c r="AB17" s="14" t="s">
        <v>259</v>
      </c>
      <c r="AC17" s="10" t="s">
        <v>261</v>
      </c>
    </row>
    <row r="18" spans="1:29" ht="48" customHeight="1" x14ac:dyDescent="0.3">
      <c r="A18" s="27">
        <v>16</v>
      </c>
      <c r="B18" s="10" t="s">
        <v>8</v>
      </c>
      <c r="C18" s="32" t="s">
        <v>250</v>
      </c>
      <c r="D18" s="8" t="s">
        <v>251</v>
      </c>
      <c r="E18" s="10" t="s">
        <v>252</v>
      </c>
      <c r="F18" s="8">
        <v>2017</v>
      </c>
      <c r="G18" s="9" t="s">
        <v>253</v>
      </c>
      <c r="H18" s="9" t="s">
        <v>254</v>
      </c>
      <c r="I18" s="15">
        <f>44/63</f>
        <v>0.69841269841269837</v>
      </c>
      <c r="J18" s="20" t="s">
        <v>255</v>
      </c>
      <c r="K18" s="20" t="s">
        <v>256</v>
      </c>
      <c r="L18" s="20" t="s">
        <v>70</v>
      </c>
      <c r="M18" s="20" t="s">
        <v>71</v>
      </c>
      <c r="N18" s="20" t="s">
        <v>73</v>
      </c>
      <c r="O18" s="20" t="s">
        <v>74</v>
      </c>
      <c r="P18" s="20" t="s">
        <v>70</v>
      </c>
      <c r="Q18" s="20" t="s">
        <v>257</v>
      </c>
      <c r="R18" s="20" t="s">
        <v>76</v>
      </c>
      <c r="S18" s="20" t="s">
        <v>77</v>
      </c>
      <c r="T18" s="20" t="s">
        <v>193</v>
      </c>
      <c r="U18" s="20" t="s">
        <v>79</v>
      </c>
      <c r="V18" s="20" t="s">
        <v>80</v>
      </c>
      <c r="W18" s="20" t="s">
        <v>83</v>
      </c>
      <c r="X18" s="20" t="s">
        <v>109</v>
      </c>
      <c r="Y18" s="20" t="s">
        <v>81</v>
      </c>
      <c r="Z18" s="20" t="s">
        <v>82</v>
      </c>
      <c r="AA18" s="21" t="s">
        <v>258</v>
      </c>
      <c r="AB18" s="14" t="s">
        <v>262</v>
      </c>
      <c r="AC18" s="10" t="s">
        <v>263</v>
      </c>
    </row>
    <row r="19" spans="1:29" ht="48" customHeight="1" x14ac:dyDescent="0.3">
      <c r="A19" s="27">
        <v>17</v>
      </c>
      <c r="B19" s="10" t="s">
        <v>8</v>
      </c>
      <c r="C19" s="8" t="s">
        <v>264</v>
      </c>
      <c r="D19" s="8" t="s">
        <v>265</v>
      </c>
      <c r="E19" s="10" t="s">
        <v>266</v>
      </c>
      <c r="F19" s="8">
        <v>2017</v>
      </c>
      <c r="G19" s="9" t="s">
        <v>267</v>
      </c>
      <c r="H19" s="9" t="s">
        <v>268</v>
      </c>
      <c r="I19" s="15">
        <f>47/66</f>
        <v>0.71212121212121215</v>
      </c>
      <c r="J19" s="20" t="s">
        <v>269</v>
      </c>
      <c r="K19" s="20" t="s">
        <v>270</v>
      </c>
      <c r="L19" s="20" t="s">
        <v>70</v>
      </c>
      <c r="M19" s="20" t="s">
        <v>71</v>
      </c>
      <c r="N19" s="20" t="s">
        <v>73</v>
      </c>
      <c r="O19" s="20" t="s">
        <v>74</v>
      </c>
      <c r="P19" s="20" t="s">
        <v>70</v>
      </c>
      <c r="Q19" s="20" t="s">
        <v>271</v>
      </c>
      <c r="R19" s="20" t="s">
        <v>76</v>
      </c>
      <c r="S19" s="20" t="s">
        <v>77</v>
      </c>
      <c r="T19" s="20" t="s">
        <v>78</v>
      </c>
      <c r="U19" s="20" t="s">
        <v>79</v>
      </c>
      <c r="V19" s="20" t="s">
        <v>123</v>
      </c>
      <c r="W19" s="20" t="s">
        <v>83</v>
      </c>
      <c r="X19" s="20" t="s">
        <v>85</v>
      </c>
      <c r="Y19" s="20" t="s">
        <v>81</v>
      </c>
      <c r="Z19" s="20" t="s">
        <v>82</v>
      </c>
      <c r="AA19" s="21" t="s">
        <v>194</v>
      </c>
      <c r="AB19" s="14" t="s">
        <v>195</v>
      </c>
      <c r="AC19" s="10" t="s">
        <v>196</v>
      </c>
    </row>
    <row r="20" spans="1:29" ht="48" customHeight="1" x14ac:dyDescent="0.3">
      <c r="A20" s="27">
        <v>18</v>
      </c>
      <c r="B20" s="10" t="s">
        <v>8</v>
      </c>
      <c r="C20" s="8" t="s">
        <v>272</v>
      </c>
      <c r="D20" s="8" t="s">
        <v>273</v>
      </c>
      <c r="E20" s="10" t="s">
        <v>274</v>
      </c>
      <c r="F20" s="8">
        <v>2017</v>
      </c>
      <c r="G20" s="9" t="s">
        <v>275</v>
      </c>
      <c r="H20" s="9" t="s">
        <v>276</v>
      </c>
      <c r="I20" s="15">
        <f>47/66</f>
        <v>0.71212121212121215</v>
      </c>
      <c r="J20" s="20" t="s">
        <v>277</v>
      </c>
      <c r="K20" s="20" t="s">
        <v>278</v>
      </c>
      <c r="L20" s="20" t="s">
        <v>70</v>
      </c>
      <c r="M20" s="20" t="s">
        <v>130</v>
      </c>
      <c r="N20" s="20" t="s">
        <v>205</v>
      </c>
      <c r="O20" s="20" t="s">
        <v>279</v>
      </c>
      <c r="P20" s="20" t="s">
        <v>70</v>
      </c>
      <c r="Q20" s="20" t="s">
        <v>280</v>
      </c>
      <c r="R20" s="20" t="s">
        <v>76</v>
      </c>
      <c r="S20" s="20" t="s">
        <v>122</v>
      </c>
      <c r="T20" s="20" t="s">
        <v>78</v>
      </c>
      <c r="U20" s="20" t="s">
        <v>134</v>
      </c>
      <c r="V20" s="20" t="s">
        <v>123</v>
      </c>
      <c r="W20" s="20" t="s">
        <v>136</v>
      </c>
      <c r="X20" s="20" t="s">
        <v>109</v>
      </c>
      <c r="Y20" s="20" t="s">
        <v>81</v>
      </c>
      <c r="Z20" s="20" t="s">
        <v>82</v>
      </c>
      <c r="AA20" s="21" t="s">
        <v>282</v>
      </c>
      <c r="AB20" s="14" t="s">
        <v>283</v>
      </c>
      <c r="AC20" s="10" t="s">
        <v>284</v>
      </c>
    </row>
    <row r="21" spans="1:29" ht="48" customHeight="1" x14ac:dyDescent="0.3">
      <c r="A21" s="27">
        <v>19</v>
      </c>
      <c r="B21" s="10" t="s">
        <v>8</v>
      </c>
      <c r="C21" s="8" t="s">
        <v>285</v>
      </c>
      <c r="D21" s="8" t="s">
        <v>286</v>
      </c>
      <c r="E21" s="10" t="s">
        <v>287</v>
      </c>
      <c r="F21" s="8">
        <v>2017</v>
      </c>
      <c r="G21" s="9" t="s">
        <v>288</v>
      </c>
      <c r="H21" s="9" t="s">
        <v>289</v>
      </c>
      <c r="I21" s="15">
        <f>45/67</f>
        <v>0.67164179104477617</v>
      </c>
      <c r="J21" s="20" t="s">
        <v>290</v>
      </c>
      <c r="K21" s="20" t="s">
        <v>291</v>
      </c>
      <c r="L21" s="20" t="s">
        <v>70</v>
      </c>
      <c r="M21" s="20" t="s">
        <v>292</v>
      </c>
      <c r="N21" s="20" t="s">
        <v>118</v>
      </c>
      <c r="O21" s="20" t="s">
        <v>249</v>
      </c>
      <c r="P21" s="20" t="s">
        <v>70</v>
      </c>
      <c r="Q21" s="20" t="s">
        <v>120</v>
      </c>
      <c r="R21" s="20" t="s">
        <v>90</v>
      </c>
      <c r="S21" s="20" t="s">
        <v>122</v>
      </c>
      <c r="T21" s="20" t="s">
        <v>78</v>
      </c>
      <c r="U21" s="20" t="s">
        <v>79</v>
      </c>
      <c r="V21" s="20" t="s">
        <v>123</v>
      </c>
      <c r="W21" s="20" t="s">
        <v>124</v>
      </c>
      <c r="X21" s="20" t="s">
        <v>109</v>
      </c>
      <c r="Y21" s="20" t="s">
        <v>81</v>
      </c>
      <c r="Z21" s="20" t="s">
        <v>125</v>
      </c>
      <c r="AA21" s="21" t="s">
        <v>293</v>
      </c>
      <c r="AB21" s="14" t="s">
        <v>112</v>
      </c>
      <c r="AC21" s="10" t="s">
        <v>294</v>
      </c>
    </row>
    <row r="22" spans="1:29" ht="48" customHeight="1" x14ac:dyDescent="0.3">
      <c r="A22" s="27">
        <v>20</v>
      </c>
      <c r="B22" s="10" t="s">
        <v>8</v>
      </c>
      <c r="C22" s="8" t="s">
        <v>295</v>
      </c>
      <c r="D22" s="8" t="s">
        <v>296</v>
      </c>
      <c r="E22" s="10" t="s">
        <v>297</v>
      </c>
      <c r="F22" s="8">
        <v>2017</v>
      </c>
      <c r="G22" s="9" t="s">
        <v>298</v>
      </c>
      <c r="H22" s="9" t="s">
        <v>299</v>
      </c>
      <c r="I22" s="15">
        <f>41/67</f>
        <v>0.61194029850746268</v>
      </c>
      <c r="J22" s="20" t="s">
        <v>300</v>
      </c>
      <c r="K22" s="20" t="s">
        <v>301</v>
      </c>
      <c r="L22" s="20" t="s">
        <v>70</v>
      </c>
      <c r="M22" s="20" t="s">
        <v>292</v>
      </c>
      <c r="N22" s="20" t="s">
        <v>205</v>
      </c>
      <c r="O22" s="20" t="s">
        <v>249</v>
      </c>
      <c r="P22" s="20" t="s">
        <v>70</v>
      </c>
      <c r="Q22" s="20" t="s">
        <v>302</v>
      </c>
      <c r="R22" s="20" t="s">
        <v>90</v>
      </c>
      <c r="S22" s="20" t="s">
        <v>122</v>
      </c>
      <c r="T22" s="20" t="s">
        <v>78</v>
      </c>
      <c r="U22" s="20" t="s">
        <v>79</v>
      </c>
      <c r="V22" s="20" t="s">
        <v>123</v>
      </c>
      <c r="W22" s="20" t="s">
        <v>303</v>
      </c>
      <c r="X22" s="20" t="s">
        <v>109</v>
      </c>
      <c r="Y22" s="20" t="s">
        <v>81</v>
      </c>
      <c r="Z22" s="20" t="s">
        <v>125</v>
      </c>
      <c r="AA22" s="21" t="s">
        <v>258</v>
      </c>
      <c r="AB22" s="14" t="s">
        <v>262</v>
      </c>
      <c r="AC22" s="10" t="s">
        <v>263</v>
      </c>
    </row>
    <row r="23" spans="1:29" ht="48" customHeight="1" x14ac:dyDescent="0.3">
      <c r="A23" s="27">
        <v>21</v>
      </c>
      <c r="B23" s="10" t="s">
        <v>305</v>
      </c>
      <c r="C23" s="8" t="s">
        <v>306</v>
      </c>
      <c r="D23" s="8" t="s">
        <v>307</v>
      </c>
      <c r="E23" s="10" t="s">
        <v>308</v>
      </c>
      <c r="F23" s="8">
        <v>2026</v>
      </c>
      <c r="G23" s="9" t="s">
        <v>309</v>
      </c>
      <c r="H23" s="9" t="s">
        <v>310</v>
      </c>
      <c r="I23" s="15">
        <f>39/61</f>
        <v>0.63934426229508201</v>
      </c>
      <c r="J23" s="20" t="s">
        <v>311</v>
      </c>
      <c r="K23" s="20" t="s">
        <v>312</v>
      </c>
      <c r="L23" s="20" t="s">
        <v>70</v>
      </c>
      <c r="M23" s="20" t="s">
        <v>314</v>
      </c>
      <c r="N23" s="20" t="s">
        <v>73</v>
      </c>
      <c r="O23" s="20" t="s">
        <v>315</v>
      </c>
      <c r="P23" s="20" t="s">
        <v>70</v>
      </c>
      <c r="Q23" s="20" t="s">
        <v>316</v>
      </c>
      <c r="R23" s="20" t="s">
        <v>90</v>
      </c>
      <c r="S23" s="20" t="s">
        <v>122</v>
      </c>
      <c r="T23" s="20" t="s">
        <v>78</v>
      </c>
      <c r="U23" s="20" t="s">
        <v>79</v>
      </c>
      <c r="V23" s="20" t="s">
        <v>317</v>
      </c>
      <c r="W23" s="20" t="s">
        <v>136</v>
      </c>
      <c r="X23" s="20" t="s">
        <v>109</v>
      </c>
      <c r="Y23" s="20" t="s">
        <v>139</v>
      </c>
      <c r="Z23" s="20" t="s">
        <v>318</v>
      </c>
      <c r="AA23" s="21" t="s">
        <v>113</v>
      </c>
      <c r="AB23" s="14" t="s">
        <v>112</v>
      </c>
      <c r="AC23" s="10" t="s">
        <v>294</v>
      </c>
    </row>
    <row r="24" spans="1:29" ht="48" customHeight="1" x14ac:dyDescent="0.3">
      <c r="A24" s="27">
        <v>22</v>
      </c>
      <c r="B24" s="10" t="s">
        <v>305</v>
      </c>
      <c r="C24" s="8" t="s">
        <v>319</v>
      </c>
      <c r="D24" s="8" t="s">
        <v>320</v>
      </c>
      <c r="E24" s="10" t="s">
        <v>321</v>
      </c>
      <c r="F24" s="8">
        <v>2017</v>
      </c>
      <c r="G24" s="9" t="s">
        <v>322</v>
      </c>
      <c r="H24" s="9" t="s">
        <v>323</v>
      </c>
      <c r="I24" s="15">
        <f>25/42</f>
        <v>0.59523809523809523</v>
      </c>
      <c r="J24" s="20" t="s">
        <v>324</v>
      </c>
      <c r="K24" s="20" t="s">
        <v>325</v>
      </c>
      <c r="L24" s="20" t="s">
        <v>70</v>
      </c>
      <c r="M24" s="20" t="s">
        <v>326</v>
      </c>
      <c r="N24" s="20" t="s">
        <v>72</v>
      </c>
      <c r="O24" s="20" t="s">
        <v>327</v>
      </c>
      <c r="P24" s="20" t="s">
        <v>615</v>
      </c>
      <c r="Q24" s="33" t="s">
        <v>328</v>
      </c>
      <c r="R24" s="20" t="s">
        <v>90</v>
      </c>
      <c r="S24" s="20" t="s">
        <v>77</v>
      </c>
      <c r="T24" s="20" t="s">
        <v>193</v>
      </c>
      <c r="U24" s="20" t="s">
        <v>79</v>
      </c>
      <c r="V24" s="20" t="s">
        <v>80</v>
      </c>
      <c r="W24" s="20" t="s">
        <v>329</v>
      </c>
      <c r="X24" s="20" t="s">
        <v>109</v>
      </c>
      <c r="Y24" s="20" t="s">
        <v>81</v>
      </c>
      <c r="Z24" s="20" t="s">
        <v>330</v>
      </c>
      <c r="AA24" s="21" t="s">
        <v>331</v>
      </c>
      <c r="AB24" s="14" t="s">
        <v>332</v>
      </c>
      <c r="AC24" s="10" t="s">
        <v>333</v>
      </c>
    </row>
    <row r="25" spans="1:29" ht="48" customHeight="1" x14ac:dyDescent="0.3">
      <c r="A25" s="27">
        <v>23</v>
      </c>
      <c r="B25" s="10" t="s">
        <v>305</v>
      </c>
      <c r="C25" s="8" t="s">
        <v>334</v>
      </c>
      <c r="D25" s="8" t="s">
        <v>335</v>
      </c>
      <c r="E25" s="10" t="s">
        <v>336</v>
      </c>
      <c r="F25" s="8">
        <v>2017</v>
      </c>
      <c r="G25" s="9" t="s">
        <v>337</v>
      </c>
      <c r="H25" s="9" t="s">
        <v>338</v>
      </c>
      <c r="I25" s="15">
        <f>47/67</f>
        <v>0.70149253731343286</v>
      </c>
      <c r="J25" s="20" t="s">
        <v>339</v>
      </c>
      <c r="K25" s="20" t="s">
        <v>340</v>
      </c>
      <c r="L25" s="20" t="s">
        <v>70</v>
      </c>
      <c r="M25" s="20" t="s">
        <v>341</v>
      </c>
      <c r="N25" s="20" t="s">
        <v>102</v>
      </c>
      <c r="O25" s="20" t="s">
        <v>342</v>
      </c>
      <c r="P25" s="20" t="s">
        <v>70</v>
      </c>
      <c r="Q25" s="20" t="s">
        <v>343</v>
      </c>
      <c r="R25" s="20" t="s">
        <v>90</v>
      </c>
      <c r="S25" s="20" t="s">
        <v>122</v>
      </c>
      <c r="T25" s="20" t="s">
        <v>78</v>
      </c>
      <c r="U25" s="20" t="s">
        <v>134</v>
      </c>
      <c r="V25" s="20" t="s">
        <v>123</v>
      </c>
      <c r="W25" s="20" t="s">
        <v>136</v>
      </c>
      <c r="X25" s="20" t="s">
        <v>109</v>
      </c>
      <c r="Y25" s="20" t="s">
        <v>81</v>
      </c>
      <c r="Z25" s="20" t="s">
        <v>344</v>
      </c>
      <c r="AA25" s="21" t="s">
        <v>345</v>
      </c>
      <c r="AB25" s="14" t="s">
        <v>346</v>
      </c>
      <c r="AC25" s="10" t="s">
        <v>347</v>
      </c>
    </row>
    <row r="26" spans="1:29" ht="48" customHeight="1" x14ac:dyDescent="0.3">
      <c r="A26" s="27">
        <v>24</v>
      </c>
      <c r="B26" s="10" t="s">
        <v>305</v>
      </c>
      <c r="C26" s="8" t="s">
        <v>178</v>
      </c>
      <c r="D26" s="8" t="s">
        <v>179</v>
      </c>
      <c r="E26" s="10" t="s">
        <v>27</v>
      </c>
      <c r="F26" s="8">
        <v>2017</v>
      </c>
      <c r="G26" s="9" t="s">
        <v>36</v>
      </c>
      <c r="H26" s="9" t="s">
        <v>348</v>
      </c>
      <c r="I26" s="15">
        <f>47/67</f>
        <v>0.70149253731343286</v>
      </c>
      <c r="J26" s="20" t="s">
        <v>180</v>
      </c>
      <c r="K26" s="20" t="s">
        <v>349</v>
      </c>
      <c r="L26" s="20" t="s">
        <v>70</v>
      </c>
      <c r="M26" s="20" t="s">
        <v>71</v>
      </c>
      <c r="N26" s="20" t="s">
        <v>73</v>
      </c>
      <c r="O26" s="20" t="s">
        <v>74</v>
      </c>
      <c r="P26" s="20" t="s">
        <v>70</v>
      </c>
      <c r="Q26" s="20" t="s">
        <v>182</v>
      </c>
      <c r="R26" s="20" t="s">
        <v>76</v>
      </c>
      <c r="S26" s="20" t="s">
        <v>92</v>
      </c>
      <c r="T26" s="20" t="s">
        <v>78</v>
      </c>
      <c r="U26" s="20" t="s">
        <v>79</v>
      </c>
      <c r="V26" s="20" t="s">
        <v>123</v>
      </c>
      <c r="W26" s="20" t="s">
        <v>83</v>
      </c>
      <c r="X26" s="20" t="s">
        <v>84</v>
      </c>
      <c r="Y26" s="20" t="s">
        <v>81</v>
      </c>
      <c r="Z26" s="20" t="s">
        <v>82</v>
      </c>
      <c r="AA26" s="21" t="s">
        <v>350</v>
      </c>
      <c r="AB26" s="14" t="s">
        <v>351</v>
      </c>
      <c r="AC26" s="10" t="s">
        <v>352</v>
      </c>
    </row>
    <row r="27" spans="1:29" ht="48" customHeight="1" x14ac:dyDescent="0.3">
      <c r="A27" s="27">
        <v>25</v>
      </c>
      <c r="B27" s="10" t="s">
        <v>305</v>
      </c>
      <c r="C27" s="8" t="s">
        <v>353</v>
      </c>
      <c r="D27" s="8" t="s">
        <v>354</v>
      </c>
      <c r="E27" s="10" t="s">
        <v>355</v>
      </c>
      <c r="F27" s="8">
        <v>2016</v>
      </c>
      <c r="G27" s="9" t="s">
        <v>356</v>
      </c>
      <c r="H27" s="9" t="s">
        <v>4</v>
      </c>
      <c r="I27" s="15">
        <f>42/65</f>
        <v>0.64615384615384619</v>
      </c>
      <c r="J27" s="20" t="s">
        <v>359</v>
      </c>
      <c r="K27" s="34" t="s">
        <v>360</v>
      </c>
      <c r="L27" s="20" t="s">
        <v>70</v>
      </c>
      <c r="M27" s="20" t="s">
        <v>361</v>
      </c>
      <c r="N27" s="20" t="s">
        <v>362</v>
      </c>
      <c r="O27" s="20" t="s">
        <v>363</v>
      </c>
      <c r="P27" s="20" t="s">
        <v>70</v>
      </c>
      <c r="Q27" s="20" t="s">
        <v>364</v>
      </c>
      <c r="R27" s="20" t="s">
        <v>76</v>
      </c>
      <c r="S27" s="20" t="s">
        <v>92</v>
      </c>
      <c r="T27" s="20" t="s">
        <v>78</v>
      </c>
      <c r="U27" s="20" t="s">
        <v>79</v>
      </c>
      <c r="V27" s="20" t="s">
        <v>123</v>
      </c>
      <c r="W27" s="20" t="s">
        <v>124</v>
      </c>
      <c r="X27" s="20" t="s">
        <v>109</v>
      </c>
      <c r="Y27" s="20" t="s">
        <v>137</v>
      </c>
      <c r="Z27" s="20" t="s">
        <v>344</v>
      </c>
      <c r="AA27" s="21" t="s">
        <v>365</v>
      </c>
      <c r="AB27" s="14" t="s">
        <v>366</v>
      </c>
      <c r="AC27" s="10" t="s">
        <v>367</v>
      </c>
    </row>
    <row r="28" spans="1:29" ht="48" customHeight="1" x14ac:dyDescent="0.3">
      <c r="A28" s="27">
        <v>26</v>
      </c>
      <c r="B28" s="10" t="s">
        <v>305</v>
      </c>
      <c r="C28" s="8" t="s">
        <v>358</v>
      </c>
      <c r="D28" s="8" t="s">
        <v>357</v>
      </c>
      <c r="E28" s="10" t="s">
        <v>31</v>
      </c>
      <c r="F28" s="8">
        <v>2017</v>
      </c>
      <c r="G28" s="9" t="s">
        <v>34</v>
      </c>
      <c r="H28" s="9" t="s">
        <v>368</v>
      </c>
      <c r="I28" s="15">
        <f>44/65</f>
        <v>0.67692307692307696</v>
      </c>
      <c r="J28" s="20" t="s">
        <v>68</v>
      </c>
      <c r="K28" s="35" t="s">
        <v>369</v>
      </c>
      <c r="L28" s="20" t="s">
        <v>70</v>
      </c>
      <c r="M28" s="20" t="s">
        <v>71</v>
      </c>
      <c r="N28" s="20" t="s">
        <v>73</v>
      </c>
      <c r="O28" s="20" t="s">
        <v>89</v>
      </c>
      <c r="P28" s="20" t="s">
        <v>70</v>
      </c>
      <c r="Q28" s="20" t="s">
        <v>75</v>
      </c>
      <c r="R28" s="20" t="s">
        <v>90</v>
      </c>
      <c r="S28" s="20" t="s">
        <v>92</v>
      </c>
      <c r="T28" s="20" t="s">
        <v>193</v>
      </c>
      <c r="U28" s="20" t="s">
        <v>107</v>
      </c>
      <c r="V28" s="20" t="s">
        <v>80</v>
      </c>
      <c r="W28" s="20" t="s">
        <v>148</v>
      </c>
      <c r="X28" s="20" t="s">
        <v>85</v>
      </c>
      <c r="Y28" s="20" t="s">
        <v>81</v>
      </c>
      <c r="Z28" s="20" t="s">
        <v>82</v>
      </c>
      <c r="AA28" s="21" t="s">
        <v>113</v>
      </c>
      <c r="AB28" s="14" t="s">
        <v>112</v>
      </c>
      <c r="AC28" s="10" t="s">
        <v>294</v>
      </c>
    </row>
    <row r="29" spans="1:29" ht="48" customHeight="1" x14ac:dyDescent="0.3">
      <c r="A29" s="27">
        <v>27</v>
      </c>
      <c r="B29" s="10" t="s">
        <v>305</v>
      </c>
      <c r="C29" s="8" t="s">
        <v>370</v>
      </c>
      <c r="D29" s="8" t="s">
        <v>371</v>
      </c>
      <c r="E29" s="10" t="s">
        <v>372</v>
      </c>
      <c r="F29" s="8">
        <v>2016</v>
      </c>
      <c r="G29" s="9" t="s">
        <v>373</v>
      </c>
      <c r="H29" s="9" t="s">
        <v>374</v>
      </c>
      <c r="I29" s="15">
        <f>45/67</f>
        <v>0.67164179104477617</v>
      </c>
      <c r="J29" s="20" t="s">
        <v>375</v>
      </c>
      <c r="K29" s="20" t="s">
        <v>376</v>
      </c>
      <c r="L29" s="20" t="s">
        <v>70</v>
      </c>
      <c r="M29" s="20" t="s">
        <v>377</v>
      </c>
      <c r="N29" s="20" t="s">
        <v>72</v>
      </c>
      <c r="O29" s="20" t="s">
        <v>327</v>
      </c>
      <c r="P29" s="20" t="s">
        <v>70</v>
      </c>
      <c r="Q29" s="20" t="s">
        <v>378</v>
      </c>
      <c r="R29" s="20" t="s">
        <v>76</v>
      </c>
      <c r="S29" s="20" t="s">
        <v>77</v>
      </c>
      <c r="T29" s="20" t="s">
        <v>78</v>
      </c>
      <c r="U29" s="20" t="s">
        <v>107</v>
      </c>
      <c r="V29" s="20" t="s">
        <v>123</v>
      </c>
      <c r="W29" s="20" t="s">
        <v>164</v>
      </c>
      <c r="X29" s="20" t="s">
        <v>85</v>
      </c>
      <c r="Y29" s="20" t="s">
        <v>137</v>
      </c>
      <c r="Z29" s="20" t="s">
        <v>207</v>
      </c>
      <c r="AA29" s="21" t="s">
        <v>379</v>
      </c>
      <c r="AB29" s="14" t="s">
        <v>332</v>
      </c>
      <c r="AC29" s="10" t="s">
        <v>333</v>
      </c>
    </row>
    <row r="30" spans="1:29" ht="48" customHeight="1" x14ac:dyDescent="0.3">
      <c r="A30" s="27">
        <v>28</v>
      </c>
      <c r="B30" s="10" t="s">
        <v>305</v>
      </c>
      <c r="C30" s="8" t="s">
        <v>380</v>
      </c>
      <c r="D30" s="8" t="s">
        <v>381</v>
      </c>
      <c r="E30" s="10" t="s">
        <v>382</v>
      </c>
      <c r="F30" s="8">
        <v>2017</v>
      </c>
      <c r="G30" s="9" t="s">
        <v>383</v>
      </c>
      <c r="H30" s="9" t="s">
        <v>384</v>
      </c>
      <c r="I30" s="15">
        <f>47/67</f>
        <v>0.70149253731343286</v>
      </c>
      <c r="J30" s="20" t="s">
        <v>385</v>
      </c>
      <c r="K30" s="20" t="s">
        <v>386</v>
      </c>
      <c r="L30" s="20" t="s">
        <v>70</v>
      </c>
      <c r="M30" s="20" t="s">
        <v>361</v>
      </c>
      <c r="N30" s="20" t="s">
        <v>73</v>
      </c>
      <c r="O30" s="20" t="s">
        <v>363</v>
      </c>
      <c r="P30" s="20" t="s">
        <v>70</v>
      </c>
      <c r="Q30" s="20" t="s">
        <v>387</v>
      </c>
      <c r="R30" s="20" t="s">
        <v>90</v>
      </c>
      <c r="S30" s="20" t="s">
        <v>77</v>
      </c>
      <c r="T30" s="20" t="s">
        <v>78</v>
      </c>
      <c r="U30" s="20" t="s">
        <v>107</v>
      </c>
      <c r="V30" s="20" t="s">
        <v>80</v>
      </c>
      <c r="W30" s="20" t="s">
        <v>388</v>
      </c>
      <c r="X30" s="20" t="s">
        <v>109</v>
      </c>
      <c r="Y30" s="20" t="s">
        <v>137</v>
      </c>
      <c r="Z30" s="20" t="s">
        <v>344</v>
      </c>
      <c r="AA30" s="21" t="s">
        <v>389</v>
      </c>
      <c r="AB30" s="14" t="s">
        <v>346</v>
      </c>
      <c r="AC30" s="10" t="s">
        <v>390</v>
      </c>
    </row>
    <row r="31" spans="1:29" ht="48" customHeight="1" x14ac:dyDescent="0.3">
      <c r="A31" s="27">
        <v>29</v>
      </c>
      <c r="B31" s="10" t="s">
        <v>305</v>
      </c>
      <c r="C31" s="8" t="s">
        <v>391</v>
      </c>
      <c r="D31" s="8" t="s">
        <v>392</v>
      </c>
      <c r="E31" s="10" t="s">
        <v>393</v>
      </c>
      <c r="F31" s="8">
        <v>2016</v>
      </c>
      <c r="G31" s="9" t="s">
        <v>394</v>
      </c>
      <c r="H31" s="9" t="s">
        <v>395</v>
      </c>
      <c r="I31" s="15">
        <f>44/66</f>
        <v>0.66666666666666663</v>
      </c>
      <c r="J31" s="20" t="s">
        <v>396</v>
      </c>
      <c r="K31" s="20" t="s">
        <v>397</v>
      </c>
      <c r="L31" s="20" t="s">
        <v>70</v>
      </c>
      <c r="M31" s="20" t="s">
        <v>377</v>
      </c>
      <c r="N31" s="20" t="s">
        <v>73</v>
      </c>
      <c r="O31" s="20" t="s">
        <v>327</v>
      </c>
      <c r="P31" s="20" t="s">
        <v>70</v>
      </c>
      <c r="Q31" s="20" t="s">
        <v>398</v>
      </c>
      <c r="R31" s="20" t="s">
        <v>76</v>
      </c>
      <c r="S31" s="20" t="s">
        <v>77</v>
      </c>
      <c r="T31" s="36" t="s">
        <v>399</v>
      </c>
      <c r="U31" s="20" t="s">
        <v>79</v>
      </c>
      <c r="V31" s="20" t="s">
        <v>123</v>
      </c>
      <c r="W31" s="20" t="s">
        <v>329</v>
      </c>
      <c r="X31" s="20" t="s">
        <v>109</v>
      </c>
      <c r="Y31" s="20" t="s">
        <v>81</v>
      </c>
      <c r="Z31" s="20" t="s">
        <v>330</v>
      </c>
      <c r="AA31" s="21" t="s">
        <v>400</v>
      </c>
      <c r="AB31" s="14" t="s">
        <v>351</v>
      </c>
      <c r="AC31" s="10" t="s">
        <v>352</v>
      </c>
    </row>
    <row r="32" spans="1:29" ht="48" customHeight="1" x14ac:dyDescent="0.3">
      <c r="A32" s="27">
        <v>30</v>
      </c>
      <c r="B32" s="10" t="s">
        <v>305</v>
      </c>
      <c r="C32" s="8" t="s">
        <v>401</v>
      </c>
      <c r="D32" s="8" t="s">
        <v>402</v>
      </c>
      <c r="E32" s="10" t="s">
        <v>403</v>
      </c>
      <c r="F32" s="8">
        <v>2017</v>
      </c>
      <c r="G32" s="9" t="s">
        <v>404</v>
      </c>
      <c r="H32" s="9" t="s">
        <v>405</v>
      </c>
      <c r="I32" s="15">
        <f>46/67</f>
        <v>0.68656716417910446</v>
      </c>
      <c r="J32" s="20" t="s">
        <v>406</v>
      </c>
      <c r="K32" s="20" t="s">
        <v>407</v>
      </c>
      <c r="L32" s="20" t="s">
        <v>70</v>
      </c>
      <c r="M32" s="20" t="s">
        <v>408</v>
      </c>
      <c r="N32" s="20" t="s">
        <v>73</v>
      </c>
      <c r="O32" s="20" t="s">
        <v>363</v>
      </c>
      <c r="P32" s="20" t="s">
        <v>70</v>
      </c>
      <c r="Q32" s="20" t="s">
        <v>409</v>
      </c>
      <c r="R32" s="20" t="s">
        <v>76</v>
      </c>
      <c r="S32" s="20" t="s">
        <v>106</v>
      </c>
      <c r="T32" s="20" t="s">
        <v>78</v>
      </c>
      <c r="U32" s="20" t="s">
        <v>79</v>
      </c>
      <c r="V32" s="20" t="s">
        <v>123</v>
      </c>
      <c r="W32" s="20" t="s">
        <v>124</v>
      </c>
      <c r="X32" s="20" t="s">
        <v>109</v>
      </c>
      <c r="Y32" s="20" t="s">
        <v>137</v>
      </c>
      <c r="Z32" s="20" t="s">
        <v>410</v>
      </c>
      <c r="AA32" s="21" t="s">
        <v>411</v>
      </c>
      <c r="AB32" s="14" t="s">
        <v>412</v>
      </c>
      <c r="AC32" s="10" t="s">
        <v>413</v>
      </c>
    </row>
    <row r="33" spans="1:29" ht="48" customHeight="1" x14ac:dyDescent="0.3">
      <c r="A33" s="27">
        <v>31</v>
      </c>
      <c r="B33" s="10" t="s">
        <v>305</v>
      </c>
      <c r="C33" s="8" t="s">
        <v>414</v>
      </c>
      <c r="D33" s="8" t="s">
        <v>415</v>
      </c>
      <c r="E33" s="10" t="s">
        <v>416</v>
      </c>
      <c r="F33" s="8">
        <v>2012</v>
      </c>
      <c r="G33" s="9" t="s">
        <v>417</v>
      </c>
      <c r="H33" s="9" t="s">
        <v>418</v>
      </c>
      <c r="I33" s="15">
        <f>44/65</f>
        <v>0.67692307692307696</v>
      </c>
      <c r="J33" s="20" t="s">
        <v>419</v>
      </c>
      <c r="K33" s="20" t="s">
        <v>420</v>
      </c>
      <c r="L33" s="20" t="s">
        <v>70</v>
      </c>
      <c r="M33" s="20" t="s">
        <v>421</v>
      </c>
      <c r="N33" s="20" t="s">
        <v>205</v>
      </c>
      <c r="O33" s="20" t="s">
        <v>422</v>
      </c>
      <c r="P33" s="20" t="s">
        <v>70</v>
      </c>
      <c r="Q33" s="20" t="s">
        <v>423</v>
      </c>
      <c r="R33" s="20" t="s">
        <v>76</v>
      </c>
      <c r="S33" s="20" t="s">
        <v>106</v>
      </c>
      <c r="T33" s="36" t="s">
        <v>78</v>
      </c>
      <c r="U33" s="20" t="s">
        <v>79</v>
      </c>
      <c r="V33" s="20" t="s">
        <v>80</v>
      </c>
      <c r="W33" s="20" t="s">
        <v>424</v>
      </c>
      <c r="X33" s="20" t="s">
        <v>84</v>
      </c>
      <c r="Y33" s="20" t="s">
        <v>137</v>
      </c>
      <c r="Z33" s="20" t="s">
        <v>207</v>
      </c>
      <c r="AA33" s="21" t="s">
        <v>425</v>
      </c>
      <c r="AB33" s="14" t="s">
        <v>426</v>
      </c>
      <c r="AC33" s="10" t="s">
        <v>427</v>
      </c>
    </row>
    <row r="34" spans="1:29" ht="48" customHeight="1" x14ac:dyDescent="0.3">
      <c r="A34" s="27">
        <v>32</v>
      </c>
      <c r="B34" s="10" t="s">
        <v>305</v>
      </c>
      <c r="C34" s="8" t="s">
        <v>428</v>
      </c>
      <c r="D34" s="8" t="s">
        <v>429</v>
      </c>
      <c r="E34" s="10" t="s">
        <v>430</v>
      </c>
      <c r="F34" s="8">
        <v>2017</v>
      </c>
      <c r="G34" s="9" t="s">
        <v>431</v>
      </c>
      <c r="H34" s="9" t="s">
        <v>432</v>
      </c>
      <c r="I34" s="15">
        <f>42/67</f>
        <v>0.62686567164179108</v>
      </c>
      <c r="J34" s="20" t="s">
        <v>433</v>
      </c>
      <c r="K34" s="20" t="s">
        <v>434</v>
      </c>
      <c r="L34" s="20" t="s">
        <v>70</v>
      </c>
      <c r="M34" s="20" t="s">
        <v>153</v>
      </c>
      <c r="N34" s="20" t="s">
        <v>72</v>
      </c>
      <c r="O34" s="20" t="s">
        <v>615</v>
      </c>
      <c r="P34" s="20" t="s">
        <v>615</v>
      </c>
      <c r="Q34" s="20" t="s">
        <v>191</v>
      </c>
      <c r="R34" s="20" t="s">
        <v>76</v>
      </c>
      <c r="S34" s="20" t="s">
        <v>92</v>
      </c>
      <c r="T34" s="20" t="s">
        <v>78</v>
      </c>
      <c r="U34" s="36" t="s">
        <v>79</v>
      </c>
      <c r="V34" s="20" t="s">
        <v>123</v>
      </c>
      <c r="W34" s="20" t="s">
        <v>388</v>
      </c>
      <c r="X34" s="20" t="s">
        <v>109</v>
      </c>
      <c r="Y34" s="20" t="s">
        <v>81</v>
      </c>
      <c r="Z34" s="20" t="s">
        <v>125</v>
      </c>
      <c r="AA34" s="21" t="s">
        <v>435</v>
      </c>
      <c r="AB34" s="14" t="s">
        <v>436</v>
      </c>
      <c r="AC34" s="10" t="s">
        <v>437</v>
      </c>
    </row>
    <row r="35" spans="1:29" ht="48" customHeight="1" x14ac:dyDescent="0.3">
      <c r="A35" s="27">
        <v>33</v>
      </c>
      <c r="B35" s="10" t="s">
        <v>305</v>
      </c>
      <c r="C35" s="8" t="s">
        <v>438</v>
      </c>
      <c r="D35" s="8" t="s">
        <v>439</v>
      </c>
      <c r="E35" s="10" t="s">
        <v>440</v>
      </c>
      <c r="F35" s="8">
        <v>2017</v>
      </c>
      <c r="G35" s="9" t="s">
        <v>441</v>
      </c>
      <c r="H35" s="9" t="s">
        <v>442</v>
      </c>
      <c r="I35" s="15">
        <f>44/62</f>
        <v>0.70967741935483875</v>
      </c>
      <c r="J35" s="20" t="s">
        <v>443</v>
      </c>
      <c r="K35" s="20" t="s">
        <v>444</v>
      </c>
      <c r="L35" s="20" t="s">
        <v>70</v>
      </c>
      <c r="M35" s="20" t="s">
        <v>326</v>
      </c>
      <c r="N35" s="20" t="s">
        <v>72</v>
      </c>
      <c r="O35" s="20" t="s">
        <v>445</v>
      </c>
      <c r="P35" s="20" t="s">
        <v>70</v>
      </c>
      <c r="Q35" s="20" t="s">
        <v>446</v>
      </c>
      <c r="R35" s="20" t="s">
        <v>76</v>
      </c>
      <c r="S35" s="20" t="s">
        <v>77</v>
      </c>
      <c r="T35" s="20" t="s">
        <v>193</v>
      </c>
      <c r="U35" s="20" t="s">
        <v>107</v>
      </c>
      <c r="V35" s="20" t="s">
        <v>123</v>
      </c>
      <c r="W35" s="20" t="s">
        <v>164</v>
      </c>
      <c r="X35" s="20" t="s">
        <v>84</v>
      </c>
      <c r="Y35" s="20" t="s">
        <v>81</v>
      </c>
      <c r="Z35" s="20" t="s">
        <v>330</v>
      </c>
      <c r="AA35" s="21" t="s">
        <v>447</v>
      </c>
      <c r="AB35" s="14" t="s">
        <v>448</v>
      </c>
      <c r="AC35" s="10" t="s">
        <v>449</v>
      </c>
    </row>
    <row r="36" spans="1:29" ht="48" customHeight="1" x14ac:dyDescent="0.3">
      <c r="A36" s="27">
        <v>34</v>
      </c>
      <c r="B36" s="10" t="s">
        <v>305</v>
      </c>
      <c r="C36" s="8" t="s">
        <v>450</v>
      </c>
      <c r="D36" s="8" t="s">
        <v>451</v>
      </c>
      <c r="E36" s="10" t="s">
        <v>452</v>
      </c>
      <c r="F36" s="8">
        <v>2017</v>
      </c>
      <c r="G36" s="9" t="s">
        <v>453</v>
      </c>
      <c r="H36" s="9" t="s">
        <v>454</v>
      </c>
      <c r="I36" s="15">
        <f>41/62</f>
        <v>0.66129032258064513</v>
      </c>
      <c r="J36" s="20" t="s">
        <v>455</v>
      </c>
      <c r="K36" s="20" t="s">
        <v>456</v>
      </c>
      <c r="L36" s="20" t="s">
        <v>70</v>
      </c>
      <c r="M36" s="20" t="s">
        <v>101</v>
      </c>
      <c r="N36" s="20" t="s">
        <v>457</v>
      </c>
      <c r="O36" s="20" t="s">
        <v>615</v>
      </c>
      <c r="P36" s="20" t="s">
        <v>70</v>
      </c>
      <c r="Q36" s="20" t="s">
        <v>458</v>
      </c>
      <c r="R36" s="20" t="s">
        <v>90</v>
      </c>
      <c r="S36" s="20" t="s">
        <v>106</v>
      </c>
      <c r="T36" s="20" t="s">
        <v>78</v>
      </c>
      <c r="U36" s="20" t="s">
        <v>79</v>
      </c>
      <c r="V36" s="36" t="s">
        <v>80</v>
      </c>
      <c r="W36" s="20" t="s">
        <v>108</v>
      </c>
      <c r="X36" s="20" t="s">
        <v>109</v>
      </c>
      <c r="Y36" s="20" t="s">
        <v>81</v>
      </c>
      <c r="Z36" s="20" t="s">
        <v>110</v>
      </c>
      <c r="AA36" s="21" t="s">
        <v>365</v>
      </c>
      <c r="AB36" s="14" t="s">
        <v>366</v>
      </c>
      <c r="AC36" s="10" t="s">
        <v>367</v>
      </c>
    </row>
    <row r="37" spans="1:29" ht="48" customHeight="1" x14ac:dyDescent="0.3">
      <c r="A37" s="27">
        <v>35</v>
      </c>
      <c r="B37" s="10" t="s">
        <v>305</v>
      </c>
      <c r="C37" s="8" t="s">
        <v>459</v>
      </c>
      <c r="D37" s="8" t="s">
        <v>460</v>
      </c>
      <c r="E37" s="10" t="s">
        <v>461</v>
      </c>
      <c r="F37" s="8">
        <v>2016</v>
      </c>
      <c r="G37" s="9" t="s">
        <v>462</v>
      </c>
      <c r="H37" s="9" t="s">
        <v>463</v>
      </c>
      <c r="I37" s="15">
        <f>46/66</f>
        <v>0.69696969696969702</v>
      </c>
      <c r="J37" s="20" t="s">
        <v>464</v>
      </c>
      <c r="K37" s="20" t="s">
        <v>465</v>
      </c>
      <c r="L37" s="20" t="s">
        <v>70</v>
      </c>
      <c r="M37" s="20" t="s">
        <v>466</v>
      </c>
      <c r="N37" s="20" t="s">
        <v>118</v>
      </c>
      <c r="O37" s="20" t="s">
        <v>422</v>
      </c>
      <c r="P37" s="20" t="s">
        <v>70</v>
      </c>
      <c r="Q37" s="20" t="s">
        <v>467</v>
      </c>
      <c r="R37" s="20" t="s">
        <v>90</v>
      </c>
      <c r="S37" s="20" t="s">
        <v>122</v>
      </c>
      <c r="T37" s="20" t="s">
        <v>78</v>
      </c>
      <c r="U37" s="20" t="s">
        <v>107</v>
      </c>
      <c r="V37" s="20" t="s">
        <v>80</v>
      </c>
      <c r="W37" s="20" t="s">
        <v>226</v>
      </c>
      <c r="X37" s="20" t="s">
        <v>109</v>
      </c>
      <c r="Y37" s="20" t="s">
        <v>81</v>
      </c>
      <c r="Z37" s="20" t="s">
        <v>110</v>
      </c>
      <c r="AA37" s="21" t="s">
        <v>113</v>
      </c>
      <c r="AB37" s="14" t="s">
        <v>112</v>
      </c>
      <c r="AC37" s="10" t="s">
        <v>294</v>
      </c>
    </row>
    <row r="38" spans="1:29" ht="48" customHeight="1" x14ac:dyDescent="0.3">
      <c r="A38" s="27">
        <v>36</v>
      </c>
      <c r="B38" s="10" t="s">
        <v>305</v>
      </c>
      <c r="C38" s="8" t="s">
        <v>470</v>
      </c>
      <c r="D38" s="8" t="s">
        <v>471</v>
      </c>
      <c r="E38" s="10" t="s">
        <v>472</v>
      </c>
      <c r="F38" s="8">
        <v>2016</v>
      </c>
      <c r="G38" s="9" t="s">
        <v>473</v>
      </c>
      <c r="H38" s="9" t="s">
        <v>474</v>
      </c>
      <c r="I38" s="15">
        <f>40/61</f>
        <v>0.65573770491803274</v>
      </c>
      <c r="J38" s="20" t="s">
        <v>475</v>
      </c>
      <c r="K38" s="20" t="s">
        <v>476</v>
      </c>
      <c r="L38" s="20" t="s">
        <v>70</v>
      </c>
      <c r="M38" s="20" t="s">
        <v>408</v>
      </c>
      <c r="N38" s="20" t="s">
        <v>73</v>
      </c>
      <c r="O38" s="20" t="s">
        <v>615</v>
      </c>
      <c r="P38" s="20" t="s">
        <v>615</v>
      </c>
      <c r="Q38" s="20" t="s">
        <v>477</v>
      </c>
      <c r="R38" s="20" t="s">
        <v>90</v>
      </c>
      <c r="S38" s="20" t="s">
        <v>106</v>
      </c>
      <c r="T38" s="20" t="s">
        <v>78</v>
      </c>
      <c r="U38" s="20" t="s">
        <v>107</v>
      </c>
      <c r="V38" s="36" t="s">
        <v>80</v>
      </c>
      <c r="W38" s="20" t="s">
        <v>124</v>
      </c>
      <c r="X38" s="20" t="s">
        <v>109</v>
      </c>
      <c r="Y38" s="20" t="s">
        <v>137</v>
      </c>
      <c r="Z38" s="20" t="s">
        <v>410</v>
      </c>
      <c r="AA38" s="21" t="s">
        <v>479</v>
      </c>
      <c r="AB38" s="14" t="s">
        <v>478</v>
      </c>
      <c r="AC38" s="10" t="s">
        <v>480</v>
      </c>
    </row>
    <row r="39" spans="1:29" ht="48" customHeight="1" x14ac:dyDescent="0.3">
      <c r="A39" s="27">
        <v>37</v>
      </c>
      <c r="B39" s="10" t="s">
        <v>305</v>
      </c>
      <c r="C39" s="8" t="s">
        <v>481</v>
      </c>
      <c r="D39" s="8" t="s">
        <v>482</v>
      </c>
      <c r="E39" s="10" t="s">
        <v>483</v>
      </c>
      <c r="F39" s="8">
        <v>2016</v>
      </c>
      <c r="G39" s="9" t="s">
        <v>484</v>
      </c>
      <c r="H39" s="9" t="s">
        <v>485</v>
      </c>
      <c r="I39" s="15">
        <f>47/68</f>
        <v>0.69117647058823528</v>
      </c>
      <c r="J39" s="20" t="s">
        <v>486</v>
      </c>
      <c r="K39" s="20" t="s">
        <v>487</v>
      </c>
      <c r="L39" s="20" t="s">
        <v>70</v>
      </c>
      <c r="M39" s="20" t="s">
        <v>488</v>
      </c>
      <c r="N39" s="20" t="s">
        <v>118</v>
      </c>
      <c r="O39" s="20" t="s">
        <v>171</v>
      </c>
      <c r="P39" s="20" t="s">
        <v>70</v>
      </c>
      <c r="Q39" s="20" t="s">
        <v>489</v>
      </c>
      <c r="R39" s="20" t="s">
        <v>490</v>
      </c>
      <c r="S39" s="20" t="s">
        <v>122</v>
      </c>
      <c r="T39" s="20" t="s">
        <v>193</v>
      </c>
      <c r="U39" s="20" t="s">
        <v>107</v>
      </c>
      <c r="V39" s="20" t="s">
        <v>123</v>
      </c>
      <c r="W39" s="20" t="s">
        <v>491</v>
      </c>
      <c r="X39" s="20" t="s">
        <v>109</v>
      </c>
      <c r="Y39" s="20" t="s">
        <v>81</v>
      </c>
      <c r="Z39" s="20" t="s">
        <v>468</v>
      </c>
      <c r="AA39" s="21" t="s">
        <v>258</v>
      </c>
      <c r="AB39" s="14" t="s">
        <v>262</v>
      </c>
      <c r="AC39" s="10" t="s">
        <v>492</v>
      </c>
    </row>
    <row r="40" spans="1:29" ht="48" customHeight="1" x14ac:dyDescent="0.3">
      <c r="A40" s="27">
        <v>38</v>
      </c>
      <c r="B40" s="10" t="s">
        <v>305</v>
      </c>
      <c r="C40" s="8" t="s">
        <v>493</v>
      </c>
      <c r="D40" s="8" t="s">
        <v>494</v>
      </c>
      <c r="E40" s="10" t="s">
        <v>495</v>
      </c>
      <c r="F40" s="8">
        <v>2016</v>
      </c>
      <c r="G40" s="9" t="s">
        <v>496</v>
      </c>
      <c r="H40" s="9" t="s">
        <v>497</v>
      </c>
      <c r="I40" s="15">
        <f>46/67</f>
        <v>0.68656716417910446</v>
      </c>
      <c r="J40" s="20" t="s">
        <v>498</v>
      </c>
      <c r="K40" s="20" t="s">
        <v>499</v>
      </c>
      <c r="L40" s="20" t="s">
        <v>70</v>
      </c>
      <c r="M40" s="20" t="s">
        <v>500</v>
      </c>
      <c r="N40" s="20" t="s">
        <v>73</v>
      </c>
      <c r="O40" s="20" t="s">
        <v>501</v>
      </c>
      <c r="P40" s="20" t="s">
        <v>70</v>
      </c>
      <c r="Q40" s="20" t="s">
        <v>502</v>
      </c>
      <c r="R40" s="20" t="s">
        <v>90</v>
      </c>
      <c r="S40" s="20" t="s">
        <v>77</v>
      </c>
      <c r="T40" s="20" t="s">
        <v>193</v>
      </c>
      <c r="U40" s="20" t="s">
        <v>79</v>
      </c>
      <c r="V40" s="20" t="s">
        <v>80</v>
      </c>
      <c r="W40" s="20" t="s">
        <v>83</v>
      </c>
      <c r="X40" s="20" t="s">
        <v>109</v>
      </c>
      <c r="Y40" s="20" t="s">
        <v>81</v>
      </c>
      <c r="Z40" s="20" t="s">
        <v>468</v>
      </c>
      <c r="AA40" s="21" t="s">
        <v>503</v>
      </c>
      <c r="AB40" s="14" t="s">
        <v>504</v>
      </c>
      <c r="AC40" s="10" t="s">
        <v>505</v>
      </c>
    </row>
    <row r="41" spans="1:29" ht="48" customHeight="1" x14ac:dyDescent="0.3">
      <c r="A41" s="27">
        <v>39</v>
      </c>
      <c r="B41" s="10" t="s">
        <v>305</v>
      </c>
      <c r="C41" s="8" t="s">
        <v>507</v>
      </c>
      <c r="D41" s="8" t="s">
        <v>506</v>
      </c>
      <c r="E41" s="10" t="s">
        <v>508</v>
      </c>
      <c r="F41" s="8">
        <v>2016</v>
      </c>
      <c r="G41" s="9" t="s">
        <v>509</v>
      </c>
      <c r="H41" s="9" t="s">
        <v>510</v>
      </c>
      <c r="I41" s="15">
        <f>46/67</f>
        <v>0.68656716417910446</v>
      </c>
      <c r="J41" s="20" t="s">
        <v>511</v>
      </c>
      <c r="K41" s="20" t="s">
        <v>512</v>
      </c>
      <c r="L41" s="20" t="s">
        <v>70</v>
      </c>
      <c r="M41" s="20" t="s">
        <v>488</v>
      </c>
      <c r="N41" s="20" t="s">
        <v>513</v>
      </c>
      <c r="O41" s="20" t="s">
        <v>514</v>
      </c>
      <c r="P41" s="20" t="s">
        <v>70</v>
      </c>
      <c r="Q41" s="20" t="s">
        <v>515</v>
      </c>
      <c r="R41" s="20" t="s">
        <v>173</v>
      </c>
      <c r="S41" s="20" t="s">
        <v>106</v>
      </c>
      <c r="T41" s="20" t="s">
        <v>193</v>
      </c>
      <c r="U41" s="20" t="s">
        <v>79</v>
      </c>
      <c r="V41" s="20" t="s">
        <v>80</v>
      </c>
      <c r="W41" s="20" t="s">
        <v>491</v>
      </c>
      <c r="X41" s="20" t="s">
        <v>84</v>
      </c>
      <c r="Y41" s="20" t="s">
        <v>81</v>
      </c>
      <c r="Z41" s="20" t="s">
        <v>468</v>
      </c>
      <c r="AA41" s="21" t="s">
        <v>516</v>
      </c>
      <c r="AB41" s="14" t="s">
        <v>517</v>
      </c>
      <c r="AC41" s="10" t="s">
        <v>518</v>
      </c>
    </row>
    <row r="42" spans="1:29" ht="48" customHeight="1" x14ac:dyDescent="0.3">
      <c r="A42" s="27">
        <v>40</v>
      </c>
      <c r="B42" s="10" t="s">
        <v>305</v>
      </c>
      <c r="C42" s="8" t="s">
        <v>519</v>
      </c>
      <c r="D42" s="8" t="s">
        <v>520</v>
      </c>
      <c r="E42" s="10" t="s">
        <v>521</v>
      </c>
      <c r="F42" s="8">
        <v>2017</v>
      </c>
      <c r="G42" s="9" t="s">
        <v>522</v>
      </c>
      <c r="H42" s="9" t="s">
        <v>523</v>
      </c>
      <c r="I42" s="15">
        <f>35/59</f>
        <v>0.59322033898305082</v>
      </c>
      <c r="J42" s="20" t="s">
        <v>524</v>
      </c>
      <c r="K42" s="20" t="s">
        <v>525</v>
      </c>
      <c r="L42" s="20" t="s">
        <v>70</v>
      </c>
      <c r="M42" s="20" t="s">
        <v>161</v>
      </c>
      <c r="N42" s="20" t="s">
        <v>73</v>
      </c>
      <c r="O42" s="20" t="s">
        <v>162</v>
      </c>
      <c r="P42" s="20" t="s">
        <v>70</v>
      </c>
      <c r="Q42" s="20" t="s">
        <v>526</v>
      </c>
      <c r="R42" s="20" t="s">
        <v>90</v>
      </c>
      <c r="S42" s="20" t="s">
        <v>92</v>
      </c>
      <c r="T42" s="20" t="s">
        <v>193</v>
      </c>
      <c r="U42" s="20" t="s">
        <v>107</v>
      </c>
      <c r="V42" s="20" t="s">
        <v>123</v>
      </c>
      <c r="W42" s="20" t="s">
        <v>329</v>
      </c>
      <c r="X42" s="20" t="s">
        <v>84</v>
      </c>
      <c r="Y42" s="20" t="s">
        <v>81</v>
      </c>
      <c r="Z42" s="20" t="s">
        <v>165</v>
      </c>
      <c r="AA42" s="21" t="s">
        <v>260</v>
      </c>
      <c r="AB42" s="14" t="s">
        <v>259</v>
      </c>
      <c r="AC42" s="10" t="s">
        <v>261</v>
      </c>
    </row>
    <row r="43" spans="1:29" ht="48" customHeight="1" x14ac:dyDescent="0.3">
      <c r="A43" s="27">
        <v>41</v>
      </c>
      <c r="B43" s="10" t="s">
        <v>6</v>
      </c>
      <c r="C43" s="8" t="s">
        <v>529</v>
      </c>
      <c r="D43" s="8" t="s">
        <v>528</v>
      </c>
      <c r="E43" s="10" t="s">
        <v>527</v>
      </c>
      <c r="F43" s="8">
        <v>2026</v>
      </c>
      <c r="G43" s="9" t="s">
        <v>530</v>
      </c>
      <c r="H43" s="11" t="s">
        <v>531</v>
      </c>
      <c r="I43" s="15">
        <f>35/60</f>
        <v>0.58333333333333337</v>
      </c>
      <c r="J43" s="20" t="s">
        <v>532</v>
      </c>
      <c r="K43" s="20" t="s">
        <v>533</v>
      </c>
      <c r="L43" s="20" t="s">
        <v>70</v>
      </c>
      <c r="M43" s="20" t="s">
        <v>534</v>
      </c>
      <c r="N43" s="20" t="s">
        <v>118</v>
      </c>
      <c r="O43" s="20" t="s">
        <v>249</v>
      </c>
      <c r="P43" s="20" t="s">
        <v>70</v>
      </c>
      <c r="Q43" s="20" t="s">
        <v>535</v>
      </c>
      <c r="R43" s="20" t="s">
        <v>76</v>
      </c>
      <c r="S43" s="20" t="s">
        <v>77</v>
      </c>
      <c r="T43" s="20" t="s">
        <v>78</v>
      </c>
      <c r="U43" s="20" t="s">
        <v>107</v>
      </c>
      <c r="V43" s="20" t="s">
        <v>123</v>
      </c>
      <c r="W43" s="20" t="s">
        <v>124</v>
      </c>
      <c r="X43" s="20" t="s">
        <v>85</v>
      </c>
      <c r="Y43" s="20" t="s">
        <v>281</v>
      </c>
      <c r="Z43" s="20" t="s">
        <v>615</v>
      </c>
      <c r="AA43" s="21" t="s">
        <v>536</v>
      </c>
      <c r="AB43" s="14" t="s">
        <v>537</v>
      </c>
      <c r="AC43" s="10" t="s">
        <v>538</v>
      </c>
    </row>
    <row r="44" spans="1:29" ht="48" customHeight="1" x14ac:dyDescent="0.3">
      <c r="A44" s="27">
        <v>42</v>
      </c>
      <c r="B44" s="10" t="s">
        <v>6</v>
      </c>
      <c r="C44" s="8" t="s">
        <v>529</v>
      </c>
      <c r="D44" s="8" t="s">
        <v>528</v>
      </c>
      <c r="E44" s="10" t="s">
        <v>531</v>
      </c>
      <c r="F44" s="8">
        <v>2026</v>
      </c>
      <c r="G44" s="9" t="s">
        <v>530</v>
      </c>
      <c r="H44" s="9" t="s">
        <v>539</v>
      </c>
      <c r="I44" s="15">
        <f>35/60</f>
        <v>0.58333333333333337</v>
      </c>
      <c r="J44" s="20" t="s">
        <v>532</v>
      </c>
      <c r="K44" s="20" t="s">
        <v>533</v>
      </c>
      <c r="L44" s="20" t="s">
        <v>70</v>
      </c>
      <c r="M44" s="20" t="s">
        <v>534</v>
      </c>
      <c r="N44" s="20" t="s">
        <v>118</v>
      </c>
      <c r="O44" s="20" t="s">
        <v>249</v>
      </c>
      <c r="P44" s="20" t="s">
        <v>70</v>
      </c>
      <c r="Q44" s="20" t="s">
        <v>540</v>
      </c>
      <c r="R44" s="20" t="s">
        <v>76</v>
      </c>
      <c r="S44" s="36" t="s">
        <v>92</v>
      </c>
      <c r="T44" s="20" t="s">
        <v>193</v>
      </c>
      <c r="U44" s="20" t="s">
        <v>107</v>
      </c>
      <c r="V44" s="20" t="s">
        <v>80</v>
      </c>
      <c r="W44" s="20" t="s">
        <v>124</v>
      </c>
      <c r="X44" s="20" t="s">
        <v>85</v>
      </c>
      <c r="Y44" s="20" t="s">
        <v>281</v>
      </c>
      <c r="Z44" s="20" t="s">
        <v>615</v>
      </c>
      <c r="AA44" s="21" t="s">
        <v>541</v>
      </c>
      <c r="AB44" s="14" t="s">
        <v>542</v>
      </c>
      <c r="AC44" s="10" t="s">
        <v>543</v>
      </c>
    </row>
    <row r="45" spans="1:29" ht="48" customHeight="1" x14ac:dyDescent="0.35">
      <c r="A45" s="27">
        <v>43</v>
      </c>
      <c r="B45" s="10" t="s">
        <v>6</v>
      </c>
      <c r="C45" s="37" t="s">
        <v>544</v>
      </c>
      <c r="D45" s="8" t="s">
        <v>545</v>
      </c>
      <c r="E45" s="10" t="s">
        <v>546</v>
      </c>
      <c r="F45" s="8">
        <v>2026</v>
      </c>
      <c r="G45" s="9" t="s">
        <v>547</v>
      </c>
      <c r="H45" s="9" t="s">
        <v>548</v>
      </c>
      <c r="I45" s="15">
        <f>40/61</f>
        <v>0.65573770491803274</v>
      </c>
      <c r="J45" s="20" t="s">
        <v>549</v>
      </c>
      <c r="K45" s="20" t="s">
        <v>550</v>
      </c>
      <c r="L45" s="20" t="s">
        <v>70</v>
      </c>
      <c r="M45" s="20" t="s">
        <v>534</v>
      </c>
      <c r="N45" s="20" t="s">
        <v>205</v>
      </c>
      <c r="O45" s="20" t="s">
        <v>249</v>
      </c>
      <c r="P45" s="20" t="s">
        <v>70</v>
      </c>
      <c r="Q45" s="20" t="s">
        <v>551</v>
      </c>
      <c r="R45" s="20" t="s">
        <v>76</v>
      </c>
      <c r="S45" s="20" t="s">
        <v>77</v>
      </c>
      <c r="T45" s="20" t="s">
        <v>78</v>
      </c>
      <c r="U45" s="20" t="s">
        <v>107</v>
      </c>
      <c r="V45" s="20" t="s">
        <v>80</v>
      </c>
      <c r="W45" s="20" t="s">
        <v>124</v>
      </c>
      <c r="X45" s="20" t="s">
        <v>84</v>
      </c>
      <c r="Y45" s="20" t="s">
        <v>281</v>
      </c>
      <c r="Z45" s="20" t="s">
        <v>615</v>
      </c>
      <c r="AA45" s="21" t="s">
        <v>503</v>
      </c>
      <c r="AB45" s="14" t="s">
        <v>504</v>
      </c>
      <c r="AC45" s="10" t="s">
        <v>560</v>
      </c>
    </row>
    <row r="46" spans="1:29" ht="48" customHeight="1" x14ac:dyDescent="0.35">
      <c r="A46" s="27">
        <v>44</v>
      </c>
      <c r="B46" s="10" t="s">
        <v>6</v>
      </c>
      <c r="C46" s="37" t="s">
        <v>553</v>
      </c>
      <c r="D46" s="8" t="s">
        <v>554</v>
      </c>
      <c r="E46" s="10" t="s">
        <v>552</v>
      </c>
      <c r="F46" s="8">
        <v>2026</v>
      </c>
      <c r="G46" s="9" t="s">
        <v>556</v>
      </c>
      <c r="H46" s="9" t="s">
        <v>555</v>
      </c>
      <c r="I46" s="15">
        <f>33/61</f>
        <v>0.54098360655737709</v>
      </c>
      <c r="J46" s="36" t="s">
        <v>557</v>
      </c>
      <c r="K46" s="20" t="s">
        <v>558</v>
      </c>
      <c r="L46" s="20" t="s">
        <v>70</v>
      </c>
      <c r="M46" s="20" t="s">
        <v>534</v>
      </c>
      <c r="N46" s="20" t="s">
        <v>118</v>
      </c>
      <c r="O46" s="20" t="s">
        <v>249</v>
      </c>
      <c r="P46" s="20" t="s">
        <v>70</v>
      </c>
      <c r="Q46" s="20" t="s">
        <v>559</v>
      </c>
      <c r="R46" s="20" t="s">
        <v>90</v>
      </c>
      <c r="S46" s="20" t="s">
        <v>77</v>
      </c>
      <c r="T46" s="20" t="s">
        <v>78</v>
      </c>
      <c r="U46" s="20" t="s">
        <v>107</v>
      </c>
      <c r="V46" s="20" t="s">
        <v>123</v>
      </c>
      <c r="W46" s="20" t="s">
        <v>388</v>
      </c>
      <c r="X46" s="20" t="s">
        <v>84</v>
      </c>
      <c r="Y46" s="20" t="s">
        <v>281</v>
      </c>
      <c r="Z46" s="20" t="s">
        <v>615</v>
      </c>
      <c r="AA46" s="21" t="s">
        <v>175</v>
      </c>
      <c r="AB46" s="14" t="s">
        <v>176</v>
      </c>
      <c r="AC46" s="10" t="s">
        <v>177</v>
      </c>
    </row>
    <row r="47" spans="1:29" ht="48" customHeight="1" x14ac:dyDescent="0.3">
      <c r="A47" s="27">
        <v>45</v>
      </c>
      <c r="B47" s="10" t="s">
        <v>6</v>
      </c>
      <c r="C47" s="8" t="s">
        <v>561</v>
      </c>
      <c r="D47" s="8" t="s">
        <v>562</v>
      </c>
      <c r="E47" s="10" t="s">
        <v>563</v>
      </c>
      <c r="F47" s="8">
        <v>2026</v>
      </c>
      <c r="G47" s="9" t="s">
        <v>564</v>
      </c>
      <c r="H47" s="9" t="s">
        <v>600</v>
      </c>
      <c r="I47" s="15">
        <f>40/58</f>
        <v>0.68965517241379315</v>
      </c>
      <c r="J47" s="20" t="s">
        <v>565</v>
      </c>
      <c r="K47" s="20" t="s">
        <v>566</v>
      </c>
      <c r="L47" s="20" t="s">
        <v>70</v>
      </c>
      <c r="M47" s="20" t="s">
        <v>567</v>
      </c>
      <c r="N47" s="20" t="s">
        <v>205</v>
      </c>
      <c r="O47" s="20" t="s">
        <v>132</v>
      </c>
      <c r="P47" s="20" t="s">
        <v>70</v>
      </c>
      <c r="Q47" s="20" t="s">
        <v>568</v>
      </c>
      <c r="R47" s="20" t="s">
        <v>76</v>
      </c>
      <c r="S47" s="20" t="s">
        <v>106</v>
      </c>
      <c r="T47" s="20" t="s">
        <v>78</v>
      </c>
      <c r="U47" s="20" t="s">
        <v>569</v>
      </c>
      <c r="V47" s="20" t="s">
        <v>123</v>
      </c>
      <c r="W47" s="20" t="s">
        <v>136</v>
      </c>
      <c r="X47" s="20" t="s">
        <v>109</v>
      </c>
      <c r="Y47" s="20" t="s">
        <v>281</v>
      </c>
      <c r="Z47" s="20" t="s">
        <v>615</v>
      </c>
      <c r="AA47" s="21" t="s">
        <v>260</v>
      </c>
      <c r="AB47" s="14" t="s">
        <v>259</v>
      </c>
      <c r="AC47" s="10" t="s">
        <v>261</v>
      </c>
    </row>
    <row r="48" spans="1:29" ht="48" customHeight="1" x14ac:dyDescent="0.3">
      <c r="A48" s="27">
        <v>46</v>
      </c>
      <c r="B48" s="10" t="s">
        <v>6</v>
      </c>
      <c r="C48" s="8" t="s">
        <v>570</v>
      </c>
      <c r="D48" s="8" t="s">
        <v>571</v>
      </c>
      <c r="E48" s="10" t="s">
        <v>572</v>
      </c>
      <c r="F48" s="8">
        <v>2026</v>
      </c>
      <c r="G48" s="9" t="s">
        <v>573</v>
      </c>
      <c r="H48" s="9" t="s">
        <v>582</v>
      </c>
      <c r="I48" s="15">
        <f>46/64</f>
        <v>0.71875</v>
      </c>
      <c r="J48" s="20" t="s">
        <v>574</v>
      </c>
      <c r="K48" s="36" t="s">
        <v>575</v>
      </c>
      <c r="L48" s="20" t="s">
        <v>70</v>
      </c>
      <c r="M48" s="20" t="s">
        <v>567</v>
      </c>
      <c r="N48" s="20" t="s">
        <v>205</v>
      </c>
      <c r="O48" s="20" t="s">
        <v>279</v>
      </c>
      <c r="P48" s="20" t="s">
        <v>70</v>
      </c>
      <c r="Q48" s="20" t="s">
        <v>576</v>
      </c>
      <c r="R48" s="20" t="s">
        <v>76</v>
      </c>
      <c r="S48" s="20" t="s">
        <v>106</v>
      </c>
      <c r="T48" s="20" t="s">
        <v>193</v>
      </c>
      <c r="U48" s="20" t="s">
        <v>569</v>
      </c>
      <c r="V48" s="20" t="s">
        <v>80</v>
      </c>
      <c r="W48" s="20" t="s">
        <v>136</v>
      </c>
      <c r="X48" s="20" t="s">
        <v>109</v>
      </c>
      <c r="Y48" s="20" t="s">
        <v>281</v>
      </c>
      <c r="Z48" s="20" t="s">
        <v>577</v>
      </c>
      <c r="AA48" s="21" t="s">
        <v>175</v>
      </c>
      <c r="AB48" s="14" t="s">
        <v>589</v>
      </c>
      <c r="AC48" s="10" t="s">
        <v>5</v>
      </c>
    </row>
    <row r="49" spans="1:29" ht="48" customHeight="1" x14ac:dyDescent="0.3">
      <c r="A49" s="27">
        <v>47</v>
      </c>
      <c r="B49" s="10" t="s">
        <v>6</v>
      </c>
      <c r="C49" s="8" t="s">
        <v>578</v>
      </c>
      <c r="D49" s="8" t="s">
        <v>579</v>
      </c>
      <c r="E49" s="10" t="s">
        <v>580</v>
      </c>
      <c r="F49" s="8">
        <v>2026</v>
      </c>
      <c r="G49" s="9" t="s">
        <v>581</v>
      </c>
      <c r="H49" s="9" t="s">
        <v>583</v>
      </c>
      <c r="I49" s="15">
        <f>28/60</f>
        <v>0.46666666666666667</v>
      </c>
      <c r="J49" s="20" t="s">
        <v>584</v>
      </c>
      <c r="K49" s="20" t="s">
        <v>585</v>
      </c>
      <c r="L49" s="20" t="s">
        <v>70</v>
      </c>
      <c r="M49" s="20" t="s">
        <v>586</v>
      </c>
      <c r="N49" s="20" t="s">
        <v>118</v>
      </c>
      <c r="O49" s="20" t="s">
        <v>587</v>
      </c>
      <c r="P49" s="20" t="s">
        <v>70</v>
      </c>
      <c r="Q49" s="20" t="s">
        <v>588</v>
      </c>
      <c r="R49" s="20" t="s">
        <v>76</v>
      </c>
      <c r="S49" s="20" t="s">
        <v>122</v>
      </c>
      <c r="T49" s="20" t="s">
        <v>78</v>
      </c>
      <c r="U49" s="36" t="s">
        <v>569</v>
      </c>
      <c r="V49" s="20" t="s">
        <v>80</v>
      </c>
      <c r="W49" s="20" t="s">
        <v>136</v>
      </c>
      <c r="X49" s="20" t="s">
        <v>109</v>
      </c>
      <c r="Y49" s="20" t="s">
        <v>81</v>
      </c>
      <c r="Z49" s="20" t="s">
        <v>615</v>
      </c>
      <c r="AA49" s="21" t="s">
        <v>258</v>
      </c>
      <c r="AB49" s="14" t="s">
        <v>262</v>
      </c>
      <c r="AC49" s="10" t="s">
        <v>263</v>
      </c>
    </row>
    <row r="50" spans="1:29" ht="48" customHeight="1" x14ac:dyDescent="0.3">
      <c r="A50" s="27">
        <v>48</v>
      </c>
      <c r="B50" s="10" t="s">
        <v>6</v>
      </c>
      <c r="C50" s="8" t="s">
        <v>590</v>
      </c>
      <c r="D50" s="8" t="s">
        <v>591</v>
      </c>
      <c r="E50" s="10" t="s">
        <v>592</v>
      </c>
      <c r="F50" s="8">
        <v>2026</v>
      </c>
      <c r="G50" s="9" t="s">
        <v>602</v>
      </c>
      <c r="H50" s="9" t="s">
        <v>593</v>
      </c>
      <c r="I50" s="15">
        <f>38/62</f>
        <v>0.61290322580645162</v>
      </c>
      <c r="J50" s="20" t="s">
        <v>595</v>
      </c>
      <c r="K50" s="20" t="s">
        <v>596</v>
      </c>
      <c r="L50" s="20" t="s">
        <v>70</v>
      </c>
      <c r="M50" s="36" t="s">
        <v>597</v>
      </c>
      <c r="N50" s="20" t="s">
        <v>118</v>
      </c>
      <c r="O50" s="20" t="s">
        <v>249</v>
      </c>
      <c r="P50" s="20" t="s">
        <v>70</v>
      </c>
      <c r="Q50" s="20" t="s">
        <v>598</v>
      </c>
      <c r="R50" s="20" t="s">
        <v>76</v>
      </c>
      <c r="S50" s="20" t="s">
        <v>92</v>
      </c>
      <c r="T50" s="20" t="s">
        <v>193</v>
      </c>
      <c r="U50" s="20" t="s">
        <v>79</v>
      </c>
      <c r="V50" s="20" t="s">
        <v>80</v>
      </c>
      <c r="W50" s="20" t="s">
        <v>388</v>
      </c>
      <c r="X50" s="20" t="s">
        <v>84</v>
      </c>
      <c r="Y50" s="20" t="s">
        <v>281</v>
      </c>
      <c r="Z50" s="20" t="s">
        <v>615</v>
      </c>
      <c r="AA50" s="21" t="s">
        <v>503</v>
      </c>
      <c r="AB50" s="14" t="s">
        <v>599</v>
      </c>
      <c r="AC50" s="10" t="s">
        <v>505</v>
      </c>
    </row>
    <row r="51" spans="1:29" ht="48" customHeight="1" x14ac:dyDescent="0.3">
      <c r="A51" s="27">
        <v>49</v>
      </c>
      <c r="B51" s="10" t="s">
        <v>6</v>
      </c>
      <c r="C51" s="8" t="s">
        <v>561</v>
      </c>
      <c r="D51" s="8" t="s">
        <v>562</v>
      </c>
      <c r="E51" s="10" t="s">
        <v>601</v>
      </c>
      <c r="F51" s="8">
        <v>2018</v>
      </c>
      <c r="G51" s="9" t="s">
        <v>594</v>
      </c>
      <c r="H51" s="9" t="s">
        <v>603</v>
      </c>
      <c r="I51" s="15">
        <f>40/58</f>
        <v>0.68965517241379315</v>
      </c>
      <c r="J51" s="20" t="s">
        <v>565</v>
      </c>
      <c r="K51" s="20" t="s">
        <v>604</v>
      </c>
      <c r="L51" s="20" t="s">
        <v>313</v>
      </c>
      <c r="M51" s="20" t="s">
        <v>567</v>
      </c>
      <c r="N51" s="36" t="s">
        <v>605</v>
      </c>
      <c r="O51" s="20" t="s">
        <v>279</v>
      </c>
      <c r="P51" s="20" t="s">
        <v>70</v>
      </c>
      <c r="Q51" s="20" t="s">
        <v>568</v>
      </c>
      <c r="R51" s="20" t="s">
        <v>90</v>
      </c>
      <c r="S51" s="20" t="s">
        <v>122</v>
      </c>
      <c r="T51" s="36" t="s">
        <v>78</v>
      </c>
      <c r="U51" s="20" t="s">
        <v>79</v>
      </c>
      <c r="V51" s="20" t="s">
        <v>80</v>
      </c>
      <c r="W51" s="20" t="s">
        <v>606</v>
      </c>
      <c r="X51" s="20" t="s">
        <v>109</v>
      </c>
      <c r="Y51" s="20" t="s">
        <v>281</v>
      </c>
      <c r="Z51" s="20" t="s">
        <v>615</v>
      </c>
      <c r="AA51" s="21" t="s">
        <v>536</v>
      </c>
      <c r="AB51" s="14" t="s">
        <v>537</v>
      </c>
      <c r="AC51" s="10" t="s">
        <v>538</v>
      </c>
    </row>
    <row r="52" spans="1:29" ht="48" customHeight="1" x14ac:dyDescent="0.3">
      <c r="A52" s="27">
        <v>50</v>
      </c>
      <c r="B52" s="10" t="s">
        <v>6</v>
      </c>
      <c r="C52" s="8" t="s">
        <v>607</v>
      </c>
      <c r="D52" s="36" t="s">
        <v>608</v>
      </c>
      <c r="E52" s="10" t="s">
        <v>609</v>
      </c>
      <c r="F52" s="8">
        <v>2026</v>
      </c>
      <c r="G52" s="9" t="s">
        <v>610</v>
      </c>
      <c r="H52" s="9" t="s">
        <v>611</v>
      </c>
      <c r="I52" s="15">
        <f>40/64</f>
        <v>0.625</v>
      </c>
      <c r="J52" s="20" t="s">
        <v>612</v>
      </c>
      <c r="K52" s="20" t="s">
        <v>613</v>
      </c>
      <c r="L52" s="20" t="s">
        <v>70</v>
      </c>
      <c r="M52" s="20" t="s">
        <v>614</v>
      </c>
      <c r="N52" s="20" t="s">
        <v>118</v>
      </c>
      <c r="O52" s="20" t="s">
        <v>249</v>
      </c>
      <c r="P52" s="20" t="s">
        <v>615</v>
      </c>
      <c r="Q52" s="20" t="s">
        <v>616</v>
      </c>
      <c r="R52" s="20" t="s">
        <v>90</v>
      </c>
      <c r="S52" s="20" t="s">
        <v>77</v>
      </c>
      <c r="T52" s="36" t="s">
        <v>78</v>
      </c>
      <c r="U52" s="20" t="s">
        <v>79</v>
      </c>
      <c r="V52" s="20" t="s">
        <v>80</v>
      </c>
      <c r="W52" s="36" t="s">
        <v>124</v>
      </c>
      <c r="X52" s="20" t="s">
        <v>109</v>
      </c>
      <c r="Y52" s="20" t="s">
        <v>281</v>
      </c>
      <c r="Z52" s="20" t="s">
        <v>615</v>
      </c>
      <c r="AA52" s="21" t="s">
        <v>260</v>
      </c>
      <c r="AB52" s="14" t="s">
        <v>259</v>
      </c>
      <c r="AC52" s="10" t="s">
        <v>617</v>
      </c>
    </row>
    <row r="53" spans="1:29" ht="48" customHeight="1" x14ac:dyDescent="0.3">
      <c r="A53" s="27">
        <v>51</v>
      </c>
      <c r="B53" s="10" t="s">
        <v>6</v>
      </c>
      <c r="C53" s="8" t="s">
        <v>618</v>
      </c>
      <c r="D53" s="36" t="s">
        <v>619</v>
      </c>
      <c r="E53" s="10" t="s">
        <v>620</v>
      </c>
      <c r="F53" s="8">
        <v>2025</v>
      </c>
      <c r="G53" s="9" t="s">
        <v>621</v>
      </c>
      <c r="H53" s="9" t="s">
        <v>622</v>
      </c>
      <c r="I53" s="15">
        <f>38/64</f>
        <v>0.59375</v>
      </c>
      <c r="J53" s="20" t="s">
        <v>623</v>
      </c>
      <c r="K53" s="20" t="s">
        <v>624</v>
      </c>
      <c r="L53" s="20" t="s">
        <v>70</v>
      </c>
      <c r="M53" s="20" t="s">
        <v>534</v>
      </c>
      <c r="N53" s="20" t="s">
        <v>118</v>
      </c>
      <c r="O53" s="20" t="s">
        <v>249</v>
      </c>
      <c r="P53" s="20" t="s">
        <v>615</v>
      </c>
      <c r="Q53" s="20" t="s">
        <v>625</v>
      </c>
      <c r="R53" s="20" t="s">
        <v>90</v>
      </c>
      <c r="S53" s="20" t="s">
        <v>77</v>
      </c>
      <c r="T53" s="20" t="s">
        <v>193</v>
      </c>
      <c r="U53" s="20" t="s">
        <v>79</v>
      </c>
      <c r="V53" s="20" t="s">
        <v>123</v>
      </c>
      <c r="W53" s="20" t="s">
        <v>124</v>
      </c>
      <c r="X53" s="20" t="s">
        <v>109</v>
      </c>
      <c r="Y53" s="20" t="s">
        <v>281</v>
      </c>
      <c r="Z53" s="20" t="s">
        <v>615</v>
      </c>
      <c r="AA53" s="38" t="s">
        <v>175</v>
      </c>
      <c r="AB53" s="14" t="s">
        <v>176</v>
      </c>
      <c r="AC53" s="10" t="s">
        <v>177</v>
      </c>
    </row>
    <row r="54" spans="1:29" ht="48" customHeight="1" x14ac:dyDescent="0.3">
      <c r="A54" s="27">
        <v>52</v>
      </c>
      <c r="B54" s="10" t="s">
        <v>6</v>
      </c>
      <c r="C54" s="8" t="s">
        <v>626</v>
      </c>
      <c r="D54" s="8" t="s">
        <v>627</v>
      </c>
      <c r="E54" s="10" t="s">
        <v>628</v>
      </c>
      <c r="F54" s="8">
        <v>2025</v>
      </c>
      <c r="G54" s="9" t="s">
        <v>629</v>
      </c>
      <c r="H54" s="9" t="s">
        <v>630</v>
      </c>
      <c r="I54" s="15">
        <f>38/63</f>
        <v>0.60317460317460314</v>
      </c>
      <c r="J54" s="20" t="s">
        <v>631</v>
      </c>
      <c r="K54" s="20" t="s">
        <v>632</v>
      </c>
      <c r="L54" s="20" t="s">
        <v>70</v>
      </c>
      <c r="M54" s="20" t="s">
        <v>534</v>
      </c>
      <c r="N54" s="36" t="s">
        <v>605</v>
      </c>
      <c r="O54" s="20" t="s">
        <v>119</v>
      </c>
      <c r="P54" s="20" t="s">
        <v>615</v>
      </c>
      <c r="Q54" s="20" t="s">
        <v>633</v>
      </c>
      <c r="R54" s="20" t="s">
        <v>76</v>
      </c>
      <c r="S54" s="20" t="s">
        <v>77</v>
      </c>
      <c r="T54" s="20" t="s">
        <v>193</v>
      </c>
      <c r="U54" s="20" t="s">
        <v>107</v>
      </c>
      <c r="V54" s="36" t="s">
        <v>80</v>
      </c>
      <c r="W54" s="20" t="s">
        <v>124</v>
      </c>
      <c r="X54" s="20" t="s">
        <v>109</v>
      </c>
      <c r="Y54" s="20" t="s">
        <v>281</v>
      </c>
      <c r="Z54" s="20" t="s">
        <v>615</v>
      </c>
      <c r="AA54" s="21" t="s">
        <v>634</v>
      </c>
      <c r="AB54" s="14" t="s">
        <v>635</v>
      </c>
      <c r="AC54" s="10" t="s">
        <v>636</v>
      </c>
    </row>
    <row r="55" spans="1:29" ht="48" customHeight="1" x14ac:dyDescent="0.3">
      <c r="A55" s="27">
        <v>53</v>
      </c>
      <c r="B55" s="10" t="s">
        <v>6</v>
      </c>
      <c r="C55" s="8" t="s">
        <v>637</v>
      </c>
      <c r="D55" s="8" t="s">
        <v>638</v>
      </c>
      <c r="E55" s="10" t="s">
        <v>639</v>
      </c>
      <c r="F55" s="8">
        <v>2026</v>
      </c>
      <c r="G55" s="9" t="s">
        <v>640</v>
      </c>
      <c r="H55" s="9" t="s">
        <v>641</v>
      </c>
      <c r="I55" s="15">
        <f>33/56</f>
        <v>0.5892857142857143</v>
      </c>
      <c r="J55" s="36" t="s">
        <v>642</v>
      </c>
      <c r="K55" s="20" t="s">
        <v>643</v>
      </c>
      <c r="L55" s="20" t="s">
        <v>70</v>
      </c>
      <c r="M55" s="20" t="s">
        <v>534</v>
      </c>
      <c r="N55" s="20" t="s">
        <v>118</v>
      </c>
      <c r="O55" s="20" t="s">
        <v>249</v>
      </c>
      <c r="P55" s="20" t="s">
        <v>615</v>
      </c>
      <c r="Q55" s="20" t="s">
        <v>644</v>
      </c>
      <c r="R55" s="20" t="s">
        <v>90</v>
      </c>
      <c r="S55" s="20" t="s">
        <v>92</v>
      </c>
      <c r="T55" s="20" t="s">
        <v>78</v>
      </c>
      <c r="U55" s="20" t="s">
        <v>107</v>
      </c>
      <c r="V55" s="20" t="s">
        <v>123</v>
      </c>
      <c r="W55" s="36" t="s">
        <v>124</v>
      </c>
      <c r="X55" s="20" t="s">
        <v>85</v>
      </c>
      <c r="Y55" s="20" t="s">
        <v>281</v>
      </c>
      <c r="Z55" s="20" t="s">
        <v>615</v>
      </c>
      <c r="AA55" s="21" t="s">
        <v>260</v>
      </c>
      <c r="AB55" s="14" t="s">
        <v>259</v>
      </c>
      <c r="AC55" s="10" t="s">
        <v>261</v>
      </c>
    </row>
    <row r="56" spans="1:29" ht="48" customHeight="1" x14ac:dyDescent="0.3">
      <c r="A56" s="27">
        <v>54</v>
      </c>
      <c r="B56" s="10" t="s">
        <v>6</v>
      </c>
      <c r="C56" s="39" t="s">
        <v>645</v>
      </c>
      <c r="D56" s="8" t="s">
        <v>646</v>
      </c>
      <c r="E56" s="10" t="s">
        <v>647</v>
      </c>
      <c r="F56" s="8">
        <v>2023</v>
      </c>
      <c r="G56" s="9" t="s">
        <v>648</v>
      </c>
      <c r="H56" s="9" t="s">
        <v>649</v>
      </c>
      <c r="I56" s="15">
        <f>38/64</f>
        <v>0.59375</v>
      </c>
      <c r="J56" s="20" t="s">
        <v>650</v>
      </c>
      <c r="K56" s="36" t="s">
        <v>651</v>
      </c>
      <c r="L56" s="20" t="s">
        <v>70</v>
      </c>
      <c r="M56" s="20" t="s">
        <v>597</v>
      </c>
      <c r="N56" s="36" t="s">
        <v>605</v>
      </c>
      <c r="O56" s="20" t="s">
        <v>249</v>
      </c>
      <c r="P56" s="20" t="s">
        <v>70</v>
      </c>
      <c r="Q56" s="20" t="s">
        <v>652</v>
      </c>
      <c r="R56" s="36" t="s">
        <v>90</v>
      </c>
      <c r="S56" s="20" t="s">
        <v>77</v>
      </c>
      <c r="T56" s="20" t="s">
        <v>78</v>
      </c>
      <c r="U56" s="20" t="s">
        <v>107</v>
      </c>
      <c r="V56" s="20" t="s">
        <v>80</v>
      </c>
      <c r="W56" s="20" t="s">
        <v>388</v>
      </c>
      <c r="X56" s="20" t="s">
        <v>109</v>
      </c>
      <c r="Y56" s="20" t="s">
        <v>281</v>
      </c>
      <c r="Z56" s="20" t="s">
        <v>615</v>
      </c>
      <c r="AA56" s="40" t="s">
        <v>194</v>
      </c>
      <c r="AB56" s="14" t="s">
        <v>195</v>
      </c>
      <c r="AC56" s="10" t="s">
        <v>196</v>
      </c>
    </row>
    <row r="57" spans="1:29" ht="48" customHeight="1" x14ac:dyDescent="0.3">
      <c r="A57" s="27">
        <v>55</v>
      </c>
      <c r="B57" s="10" t="s">
        <v>6</v>
      </c>
      <c r="C57" s="8" t="s">
        <v>653</v>
      </c>
      <c r="D57" s="8" t="s">
        <v>654</v>
      </c>
      <c r="E57" s="10" t="s">
        <v>655</v>
      </c>
      <c r="F57" s="8">
        <v>2025</v>
      </c>
      <c r="G57" s="9" t="s">
        <v>656</v>
      </c>
      <c r="H57" s="9" t="s">
        <v>657</v>
      </c>
      <c r="I57" s="15">
        <f>38/64</f>
        <v>0.59375</v>
      </c>
      <c r="J57" s="20" t="s">
        <v>658</v>
      </c>
      <c r="K57" s="20" t="s">
        <v>659</v>
      </c>
      <c r="L57" s="20" t="s">
        <v>313</v>
      </c>
      <c r="M57" s="36" t="s">
        <v>597</v>
      </c>
      <c r="N57" s="20" t="s">
        <v>118</v>
      </c>
      <c r="O57" s="20" t="s">
        <v>249</v>
      </c>
      <c r="P57" s="20" t="s">
        <v>313</v>
      </c>
      <c r="Q57" s="20" t="s">
        <v>660</v>
      </c>
      <c r="R57" s="20" t="s">
        <v>90</v>
      </c>
      <c r="S57" s="20" t="s">
        <v>77</v>
      </c>
      <c r="T57" s="20" t="s">
        <v>193</v>
      </c>
      <c r="U57" s="20" t="s">
        <v>107</v>
      </c>
      <c r="V57" s="20" t="s">
        <v>80</v>
      </c>
      <c r="W57" s="20" t="s">
        <v>124</v>
      </c>
      <c r="X57" s="20" t="s">
        <v>85</v>
      </c>
      <c r="Y57" s="20" t="s">
        <v>281</v>
      </c>
      <c r="Z57" s="20" t="s">
        <v>615</v>
      </c>
      <c r="AA57" s="21" t="s">
        <v>258</v>
      </c>
      <c r="AB57" s="14" t="s">
        <v>262</v>
      </c>
      <c r="AC57" s="10" t="s">
        <v>263</v>
      </c>
    </row>
    <row r="58" spans="1:29" ht="48" customHeight="1" x14ac:dyDescent="0.3">
      <c r="A58" s="27">
        <v>56</v>
      </c>
      <c r="B58" s="10" t="s">
        <v>6</v>
      </c>
      <c r="C58" s="8" t="s">
        <v>661</v>
      </c>
      <c r="D58" s="8" t="s">
        <v>662</v>
      </c>
      <c r="E58" s="10" t="s">
        <v>663</v>
      </c>
      <c r="F58" s="8">
        <v>2025</v>
      </c>
      <c r="G58" s="9" t="s">
        <v>664</v>
      </c>
      <c r="H58" s="9" t="s">
        <v>665</v>
      </c>
      <c r="I58" s="15">
        <f>35/62</f>
        <v>0.56451612903225812</v>
      </c>
      <c r="J58" s="20" t="s">
        <v>666</v>
      </c>
      <c r="K58" s="20" t="s">
        <v>667</v>
      </c>
      <c r="L58" s="20" t="s">
        <v>70</v>
      </c>
      <c r="M58" s="20" t="s">
        <v>534</v>
      </c>
      <c r="N58" s="20" t="s">
        <v>118</v>
      </c>
      <c r="O58" s="20" t="s">
        <v>249</v>
      </c>
      <c r="P58" s="20" t="s">
        <v>70</v>
      </c>
      <c r="Q58" s="20" t="s">
        <v>668</v>
      </c>
      <c r="R58" s="20" t="s">
        <v>90</v>
      </c>
      <c r="S58" s="20" t="s">
        <v>77</v>
      </c>
      <c r="T58" s="20" t="s">
        <v>193</v>
      </c>
      <c r="U58" s="20" t="s">
        <v>107</v>
      </c>
      <c r="V58" s="20" t="s">
        <v>80</v>
      </c>
      <c r="W58" s="20" t="s">
        <v>124</v>
      </c>
      <c r="X58" s="20" t="s">
        <v>85</v>
      </c>
      <c r="Y58" s="20" t="s">
        <v>281</v>
      </c>
      <c r="Z58" s="20" t="s">
        <v>615</v>
      </c>
      <c r="AA58" s="21" t="s">
        <v>503</v>
      </c>
      <c r="AB58" s="14" t="s">
        <v>504</v>
      </c>
      <c r="AC58" s="10" t="s">
        <v>505</v>
      </c>
    </row>
    <row r="59" spans="1:29" ht="48" customHeight="1" x14ac:dyDescent="0.3">
      <c r="A59" s="27">
        <v>57</v>
      </c>
      <c r="B59" s="10" t="s">
        <v>6</v>
      </c>
      <c r="C59" s="36" t="s">
        <v>672</v>
      </c>
      <c r="D59" s="8" t="s">
        <v>676</v>
      </c>
      <c r="E59" s="7" t="s">
        <v>669</v>
      </c>
      <c r="F59" s="8">
        <v>2025</v>
      </c>
      <c r="G59" s="9" t="s">
        <v>670</v>
      </c>
      <c r="H59" s="28" t="s">
        <v>671</v>
      </c>
      <c r="I59" s="15">
        <f>37/62</f>
        <v>0.59677419354838712</v>
      </c>
      <c r="J59" s="41" t="s">
        <v>673</v>
      </c>
      <c r="K59" s="20" t="s">
        <v>674</v>
      </c>
      <c r="L59" s="20" t="s">
        <v>70</v>
      </c>
      <c r="M59" s="20" t="s">
        <v>534</v>
      </c>
      <c r="N59" s="20" t="s">
        <v>102</v>
      </c>
      <c r="O59" s="20" t="s">
        <v>249</v>
      </c>
      <c r="P59" s="20" t="s">
        <v>70</v>
      </c>
      <c r="Q59" s="20" t="s">
        <v>675</v>
      </c>
      <c r="R59" s="20" t="s">
        <v>90</v>
      </c>
      <c r="S59" s="20" t="s">
        <v>77</v>
      </c>
      <c r="T59" s="20" t="s">
        <v>193</v>
      </c>
      <c r="U59" s="20" t="s">
        <v>107</v>
      </c>
      <c r="V59" s="20" t="s">
        <v>80</v>
      </c>
      <c r="W59" s="20" t="s">
        <v>124</v>
      </c>
      <c r="X59" s="20" t="s">
        <v>85</v>
      </c>
      <c r="Y59" s="20" t="s">
        <v>281</v>
      </c>
      <c r="Z59" s="20" t="s">
        <v>615</v>
      </c>
      <c r="AA59" s="21" t="s">
        <v>536</v>
      </c>
      <c r="AB59" s="14" t="s">
        <v>537</v>
      </c>
      <c r="AC59" s="10" t="s">
        <v>538</v>
      </c>
    </row>
    <row r="60" spans="1:29" ht="48" customHeight="1" x14ac:dyDescent="0.3">
      <c r="A60" s="27">
        <v>58</v>
      </c>
      <c r="B60" s="10" t="s">
        <v>6</v>
      </c>
      <c r="C60" s="8" t="s">
        <v>684</v>
      </c>
      <c r="D60" s="8" t="s">
        <v>678</v>
      </c>
      <c r="E60" s="10" t="s">
        <v>677</v>
      </c>
      <c r="F60" s="8">
        <v>2025</v>
      </c>
      <c r="G60" s="9" t="s">
        <v>679</v>
      </c>
      <c r="H60" s="9" t="s">
        <v>680</v>
      </c>
      <c r="I60" s="15">
        <f>34/59</f>
        <v>0.57627118644067798</v>
      </c>
      <c r="J60" s="20" t="s">
        <v>681</v>
      </c>
      <c r="K60" s="20" t="s">
        <v>682</v>
      </c>
      <c r="L60" s="20" t="s">
        <v>70</v>
      </c>
      <c r="M60" s="20" t="s">
        <v>534</v>
      </c>
      <c r="N60" s="20" t="s">
        <v>118</v>
      </c>
      <c r="O60" s="20" t="s">
        <v>249</v>
      </c>
      <c r="P60" s="20" t="s">
        <v>615</v>
      </c>
      <c r="Q60" s="20" t="s">
        <v>683</v>
      </c>
      <c r="R60" s="20" t="s">
        <v>90</v>
      </c>
      <c r="S60" s="20" t="s">
        <v>77</v>
      </c>
      <c r="T60" s="20" t="s">
        <v>193</v>
      </c>
      <c r="U60" s="20" t="s">
        <v>107</v>
      </c>
      <c r="V60" s="20" t="s">
        <v>80</v>
      </c>
      <c r="W60" s="20" t="s">
        <v>124</v>
      </c>
      <c r="X60" s="20" t="s">
        <v>85</v>
      </c>
      <c r="Y60" s="20" t="s">
        <v>281</v>
      </c>
      <c r="Z60" s="20" t="s">
        <v>615</v>
      </c>
      <c r="AA60" s="21" t="s">
        <v>503</v>
      </c>
      <c r="AB60" s="14" t="s">
        <v>504</v>
      </c>
      <c r="AC60" s="10" t="s">
        <v>505</v>
      </c>
    </row>
    <row r="61" spans="1:29" ht="48" customHeight="1" x14ac:dyDescent="0.3">
      <c r="A61" s="27">
        <v>59</v>
      </c>
      <c r="B61" s="10" t="s">
        <v>6</v>
      </c>
      <c r="C61" s="8" t="s">
        <v>685</v>
      </c>
      <c r="D61" s="8" t="s">
        <v>686</v>
      </c>
      <c r="E61" s="10" t="s">
        <v>687</v>
      </c>
      <c r="F61" s="8">
        <v>2025</v>
      </c>
      <c r="G61" s="9" t="s">
        <v>688</v>
      </c>
      <c r="H61" s="9" t="s">
        <v>689</v>
      </c>
      <c r="I61" s="15">
        <f>36/63</f>
        <v>0.5714285714285714</v>
      </c>
      <c r="J61" s="20" t="s">
        <v>690</v>
      </c>
      <c r="K61" s="20" t="s">
        <v>691</v>
      </c>
      <c r="L61" s="20" t="s">
        <v>70</v>
      </c>
      <c r="M61" s="20" t="s">
        <v>534</v>
      </c>
      <c r="N61" s="20" t="s">
        <v>118</v>
      </c>
      <c r="O61" s="20" t="s">
        <v>249</v>
      </c>
      <c r="P61" s="20" t="s">
        <v>70</v>
      </c>
      <c r="Q61" s="20" t="s">
        <v>692</v>
      </c>
      <c r="R61" s="20" t="s">
        <v>90</v>
      </c>
      <c r="S61" s="20" t="s">
        <v>77</v>
      </c>
      <c r="T61" s="20" t="s">
        <v>193</v>
      </c>
      <c r="U61" s="20" t="s">
        <v>107</v>
      </c>
      <c r="V61" s="20" t="s">
        <v>80</v>
      </c>
      <c r="W61" s="20" t="s">
        <v>124</v>
      </c>
      <c r="X61" s="20" t="s">
        <v>85</v>
      </c>
      <c r="Y61" s="20" t="s">
        <v>281</v>
      </c>
      <c r="Z61" s="20" t="s">
        <v>615</v>
      </c>
      <c r="AA61" s="21" t="s">
        <v>260</v>
      </c>
      <c r="AB61" s="14" t="s">
        <v>259</v>
      </c>
      <c r="AC61" s="10" t="s">
        <v>261</v>
      </c>
    </row>
    <row r="62" spans="1:29" ht="48" customHeight="1" x14ac:dyDescent="0.3">
      <c r="A62" s="27">
        <v>60</v>
      </c>
      <c r="B62" s="10" t="s">
        <v>6</v>
      </c>
      <c r="C62" s="8" t="s">
        <v>694</v>
      </c>
      <c r="D62" s="8" t="s">
        <v>695</v>
      </c>
      <c r="E62" s="10" t="s">
        <v>693</v>
      </c>
      <c r="F62" s="8">
        <v>2020</v>
      </c>
      <c r="G62" s="9" t="s">
        <v>696</v>
      </c>
      <c r="H62" s="9" t="s">
        <v>697</v>
      </c>
      <c r="I62" s="15">
        <f>39/60</f>
        <v>0.65</v>
      </c>
      <c r="J62" s="20" t="s">
        <v>698</v>
      </c>
      <c r="K62" s="20" t="s">
        <v>699</v>
      </c>
      <c r="L62" s="20" t="s">
        <v>70</v>
      </c>
      <c r="M62" s="20" t="s">
        <v>534</v>
      </c>
      <c r="N62" s="20" t="s">
        <v>118</v>
      </c>
      <c r="O62" s="20" t="s">
        <v>249</v>
      </c>
      <c r="P62" s="20" t="s">
        <v>70</v>
      </c>
      <c r="Q62" s="20" t="s">
        <v>700</v>
      </c>
      <c r="R62" s="20" t="s">
        <v>90</v>
      </c>
      <c r="S62" s="20" t="s">
        <v>77</v>
      </c>
      <c r="T62" s="20" t="s">
        <v>193</v>
      </c>
      <c r="U62" s="20" t="s">
        <v>107</v>
      </c>
      <c r="V62" s="20" t="s">
        <v>80</v>
      </c>
      <c r="W62" s="20" t="s">
        <v>124</v>
      </c>
      <c r="X62" s="20" t="s">
        <v>85</v>
      </c>
      <c r="Y62" s="20" t="s">
        <v>281</v>
      </c>
      <c r="Z62" s="20" t="s">
        <v>615</v>
      </c>
      <c r="AA62" s="40" t="s">
        <v>194</v>
      </c>
      <c r="AB62" s="14" t="s">
        <v>195</v>
      </c>
      <c r="AC62" s="10" t="s">
        <v>196</v>
      </c>
    </row>
    <row r="63" spans="1:29" ht="48" customHeight="1" x14ac:dyDescent="0.3">
      <c r="A63" s="27">
        <v>61</v>
      </c>
      <c r="B63" s="10" t="s">
        <v>304</v>
      </c>
      <c r="C63" s="8" t="s">
        <v>701</v>
      </c>
      <c r="D63" s="8" t="s">
        <v>702</v>
      </c>
      <c r="E63" s="10" t="s">
        <v>703</v>
      </c>
      <c r="F63" s="8">
        <v>2024</v>
      </c>
      <c r="G63" s="9" t="s">
        <v>704</v>
      </c>
      <c r="H63" s="9" t="s">
        <v>705</v>
      </c>
      <c r="I63" s="15">
        <f>44/65</f>
        <v>0.67692307692307696</v>
      </c>
      <c r="J63" s="20" t="s">
        <v>706</v>
      </c>
      <c r="K63" s="20" t="s">
        <v>707</v>
      </c>
      <c r="L63" s="20" t="s">
        <v>70</v>
      </c>
      <c r="M63" s="20" t="s">
        <v>466</v>
      </c>
      <c r="N63" s="20" t="s">
        <v>118</v>
      </c>
      <c r="O63" s="20" t="s">
        <v>708</v>
      </c>
      <c r="P63" s="20" t="s">
        <v>70</v>
      </c>
      <c r="Q63" s="20" t="s">
        <v>709</v>
      </c>
      <c r="R63" s="20" t="s">
        <v>76</v>
      </c>
      <c r="S63" s="20" t="s">
        <v>122</v>
      </c>
      <c r="T63" s="20" t="s">
        <v>193</v>
      </c>
      <c r="U63" s="20" t="s">
        <v>79</v>
      </c>
      <c r="V63" s="20" t="s">
        <v>80</v>
      </c>
      <c r="W63" s="20" t="s">
        <v>226</v>
      </c>
      <c r="X63" s="20" t="s">
        <v>84</v>
      </c>
      <c r="Y63" s="20" t="s">
        <v>81</v>
      </c>
      <c r="Z63" s="20" t="s">
        <v>110</v>
      </c>
      <c r="AA63" s="21" t="s">
        <v>536</v>
      </c>
      <c r="AB63" s="28" t="s">
        <v>537</v>
      </c>
      <c r="AC63" s="10" t="s">
        <v>7</v>
      </c>
    </row>
    <row r="64" spans="1:29" ht="48" customHeight="1" x14ac:dyDescent="0.3">
      <c r="A64" s="27">
        <v>62</v>
      </c>
      <c r="B64" s="10" t="s">
        <v>728</v>
      </c>
      <c r="C64" s="38" t="s">
        <v>710</v>
      </c>
      <c r="D64" s="8" t="s">
        <v>719</v>
      </c>
      <c r="E64" s="10" t="s">
        <v>720</v>
      </c>
      <c r="F64" s="8">
        <v>2024</v>
      </c>
      <c r="G64" s="9" t="s">
        <v>721</v>
      </c>
      <c r="H64" s="9" t="s">
        <v>722</v>
      </c>
      <c r="I64" s="15">
        <f>39/64</f>
        <v>0.609375</v>
      </c>
      <c r="J64" s="20" t="s">
        <v>723</v>
      </c>
      <c r="K64" s="20" t="s">
        <v>724</v>
      </c>
      <c r="L64" s="20" t="s">
        <v>70</v>
      </c>
      <c r="M64" s="20" t="s">
        <v>725</v>
      </c>
      <c r="N64" s="20" t="s">
        <v>73</v>
      </c>
      <c r="O64" s="20" t="s">
        <v>726</v>
      </c>
      <c r="P64" s="20" t="s">
        <v>70</v>
      </c>
      <c r="Q64" s="36" t="s">
        <v>727</v>
      </c>
      <c r="R64" s="20" t="s">
        <v>76</v>
      </c>
      <c r="S64" s="20" t="s">
        <v>122</v>
      </c>
      <c r="T64" s="20" t="s">
        <v>193</v>
      </c>
      <c r="U64" s="20" t="s">
        <v>79</v>
      </c>
      <c r="V64" s="20" t="s">
        <v>80</v>
      </c>
      <c r="W64" s="20" t="s">
        <v>226</v>
      </c>
      <c r="X64" s="20" t="s">
        <v>84</v>
      </c>
      <c r="Y64" s="20" t="s">
        <v>138</v>
      </c>
      <c r="Z64" s="20" t="s">
        <v>469</v>
      </c>
      <c r="AA64" s="38" t="s">
        <v>258</v>
      </c>
      <c r="AB64" s="14" t="s">
        <v>262</v>
      </c>
      <c r="AC64" s="10" t="s">
        <v>538</v>
      </c>
    </row>
    <row r="65" spans="1:29" ht="48" customHeight="1" x14ac:dyDescent="0.3">
      <c r="A65" s="27">
        <v>63</v>
      </c>
      <c r="B65" s="10" t="s">
        <v>728</v>
      </c>
      <c r="C65" s="8" t="s">
        <v>711</v>
      </c>
      <c r="D65" s="8" t="s">
        <v>729</v>
      </c>
      <c r="E65" s="10" t="s">
        <v>730</v>
      </c>
      <c r="F65" s="8">
        <v>2024</v>
      </c>
      <c r="G65" s="9" t="s">
        <v>731</v>
      </c>
      <c r="H65" s="9" t="s">
        <v>732</v>
      </c>
      <c r="I65" s="15">
        <f>36/64</f>
        <v>0.5625</v>
      </c>
      <c r="J65" s="20" t="s">
        <v>733</v>
      </c>
      <c r="K65" s="36" t="s">
        <v>734</v>
      </c>
      <c r="L65" s="20" t="s">
        <v>70</v>
      </c>
      <c r="M65" s="20" t="s">
        <v>161</v>
      </c>
      <c r="N65" s="20" t="s">
        <v>73</v>
      </c>
      <c r="O65" s="20" t="s">
        <v>162</v>
      </c>
      <c r="P65" s="20" t="s">
        <v>70</v>
      </c>
      <c r="Q65" s="20" t="s">
        <v>735</v>
      </c>
      <c r="R65" s="20" t="s">
        <v>76</v>
      </c>
      <c r="S65" s="20" t="s">
        <v>122</v>
      </c>
      <c r="T65" s="20" t="s">
        <v>193</v>
      </c>
      <c r="U65" s="20" t="s">
        <v>79</v>
      </c>
      <c r="V65" s="20" t="s">
        <v>80</v>
      </c>
      <c r="W65" s="20" t="s">
        <v>226</v>
      </c>
      <c r="X65" s="20" t="s">
        <v>81</v>
      </c>
      <c r="Y65" s="20" t="s">
        <v>165</v>
      </c>
      <c r="Z65" s="20" t="s">
        <v>615</v>
      </c>
      <c r="AA65" s="21" t="s">
        <v>503</v>
      </c>
      <c r="AB65" s="14" t="s">
        <v>262</v>
      </c>
      <c r="AC65" s="10" t="s">
        <v>263</v>
      </c>
    </row>
    <row r="66" spans="1:29" ht="48" customHeight="1" x14ac:dyDescent="0.3">
      <c r="A66" s="27">
        <v>64</v>
      </c>
      <c r="B66" s="10" t="s">
        <v>728</v>
      </c>
      <c r="C66" s="8" t="s">
        <v>712</v>
      </c>
      <c r="D66" s="8" t="s">
        <v>736</v>
      </c>
      <c r="E66" s="10" t="s">
        <v>737</v>
      </c>
      <c r="F66" s="8">
        <v>2025</v>
      </c>
      <c r="G66" s="9" t="s">
        <v>738</v>
      </c>
      <c r="H66" s="9" t="s">
        <v>739</v>
      </c>
      <c r="I66" s="15">
        <f>44/64</f>
        <v>0.6875</v>
      </c>
      <c r="J66" s="20" t="s">
        <v>740</v>
      </c>
      <c r="K66" s="20" t="s">
        <v>741</v>
      </c>
      <c r="L66" s="20" t="s">
        <v>70</v>
      </c>
      <c r="M66" s="20" t="s">
        <v>117</v>
      </c>
      <c r="N66" s="20" t="s">
        <v>205</v>
      </c>
      <c r="O66" s="36" t="s">
        <v>742</v>
      </c>
      <c r="P66" s="20" t="s">
        <v>70</v>
      </c>
      <c r="Q66" s="20" t="s">
        <v>743</v>
      </c>
      <c r="R66" s="20" t="s">
        <v>76</v>
      </c>
      <c r="S66" s="20" t="s">
        <v>122</v>
      </c>
      <c r="T66" s="20" t="s">
        <v>193</v>
      </c>
      <c r="U66" s="20" t="s">
        <v>79</v>
      </c>
      <c r="V66" s="20" t="s">
        <v>80</v>
      </c>
      <c r="W66" s="20" t="s">
        <v>124</v>
      </c>
      <c r="X66" s="20" t="s">
        <v>109</v>
      </c>
      <c r="Y66" s="20" t="s">
        <v>81</v>
      </c>
      <c r="Z66" s="20" t="s">
        <v>125</v>
      </c>
      <c r="AA66" s="21" t="s">
        <v>365</v>
      </c>
      <c r="AB66" s="14" t="s">
        <v>366</v>
      </c>
      <c r="AC66" s="10" t="s">
        <v>367</v>
      </c>
    </row>
    <row r="67" spans="1:29" ht="48" customHeight="1" x14ac:dyDescent="0.3">
      <c r="A67" s="27">
        <v>65</v>
      </c>
      <c r="B67" s="10" t="s">
        <v>8</v>
      </c>
      <c r="C67" s="8" t="s">
        <v>713</v>
      </c>
      <c r="D67" s="8" t="s">
        <v>744</v>
      </c>
      <c r="E67" s="10" t="s">
        <v>745</v>
      </c>
      <c r="F67" s="8">
        <v>2016</v>
      </c>
      <c r="G67" s="42" t="s">
        <v>746</v>
      </c>
      <c r="H67" s="28" t="s">
        <v>747</v>
      </c>
      <c r="I67" s="15">
        <v>0</v>
      </c>
      <c r="J67" s="20" t="s">
        <v>748</v>
      </c>
      <c r="K67" s="20" t="s">
        <v>749</v>
      </c>
      <c r="L67" s="20" t="s">
        <v>750</v>
      </c>
      <c r="M67" s="20" t="s">
        <v>751</v>
      </c>
      <c r="N67" s="20" t="s">
        <v>752</v>
      </c>
      <c r="O67" s="20" t="s">
        <v>615</v>
      </c>
      <c r="P67" s="20" t="s">
        <v>750</v>
      </c>
      <c r="Q67" s="20" t="s">
        <v>753</v>
      </c>
      <c r="R67" s="20" t="s">
        <v>615</v>
      </c>
      <c r="S67" s="20" t="s">
        <v>615</v>
      </c>
      <c r="T67" s="20" t="s">
        <v>615</v>
      </c>
      <c r="U67" s="20" t="s">
        <v>615</v>
      </c>
      <c r="V67" s="20" t="s">
        <v>615</v>
      </c>
      <c r="W67" s="20" t="s">
        <v>615</v>
      </c>
      <c r="X67" s="20" t="s">
        <v>615</v>
      </c>
      <c r="Y67" s="20" t="s">
        <v>615</v>
      </c>
      <c r="Z67" s="20" t="s">
        <v>615</v>
      </c>
      <c r="AA67" s="20" t="s">
        <v>615</v>
      </c>
      <c r="AB67" s="20" t="s">
        <v>615</v>
      </c>
      <c r="AC67" s="20" t="s">
        <v>615</v>
      </c>
    </row>
    <row r="68" spans="1:29" ht="48" customHeight="1" x14ac:dyDescent="0.3">
      <c r="A68" s="27">
        <v>66</v>
      </c>
      <c r="B68" s="10" t="s">
        <v>754</v>
      </c>
      <c r="C68" s="8" t="s">
        <v>714</v>
      </c>
      <c r="D68" s="36" t="s">
        <v>755</v>
      </c>
      <c r="E68" s="10" t="s">
        <v>756</v>
      </c>
      <c r="F68" s="8">
        <v>2022</v>
      </c>
      <c r="G68" s="9" t="s">
        <v>757</v>
      </c>
      <c r="H68" s="9" t="s">
        <v>758</v>
      </c>
      <c r="I68" s="15">
        <f>44/64</f>
        <v>0.6875</v>
      </c>
      <c r="J68" s="20" t="s">
        <v>759</v>
      </c>
      <c r="K68" s="20" t="s">
        <v>760</v>
      </c>
      <c r="L68" s="20" t="s">
        <v>70</v>
      </c>
      <c r="M68" s="20" t="s">
        <v>761</v>
      </c>
      <c r="N68" s="20" t="s">
        <v>762</v>
      </c>
      <c r="O68" s="20" t="s">
        <v>763</v>
      </c>
      <c r="P68" s="20" t="s">
        <v>70</v>
      </c>
      <c r="Q68" s="20" t="s">
        <v>764</v>
      </c>
      <c r="R68" s="20" t="s">
        <v>90</v>
      </c>
      <c r="S68" s="20" t="s">
        <v>122</v>
      </c>
      <c r="T68" s="20" t="s">
        <v>193</v>
      </c>
      <c r="U68" s="20" t="s">
        <v>107</v>
      </c>
      <c r="V68" s="20" t="s">
        <v>123</v>
      </c>
      <c r="W68" s="20" t="s">
        <v>108</v>
      </c>
      <c r="X68" s="20" t="s">
        <v>84</v>
      </c>
      <c r="Y68" s="20" t="s">
        <v>138</v>
      </c>
      <c r="Z68" s="20" t="s">
        <v>125</v>
      </c>
      <c r="AA68" s="28" t="s">
        <v>765</v>
      </c>
      <c r="AB68" s="14" t="s">
        <v>766</v>
      </c>
      <c r="AC68" s="10" t="s">
        <v>767</v>
      </c>
    </row>
    <row r="69" spans="1:29" ht="48" customHeight="1" x14ac:dyDescent="0.3">
      <c r="A69" s="27">
        <v>67</v>
      </c>
      <c r="B69" s="10" t="s">
        <v>8</v>
      </c>
      <c r="C69" s="8" t="s">
        <v>715</v>
      </c>
      <c r="D69" s="36" t="s">
        <v>768</v>
      </c>
      <c r="E69" s="10" t="s">
        <v>769</v>
      </c>
      <c r="F69" s="8">
        <v>2025</v>
      </c>
      <c r="G69" s="9" t="s">
        <v>770</v>
      </c>
      <c r="H69" s="9" t="s">
        <v>771</v>
      </c>
      <c r="I69" s="15">
        <f>36/62</f>
        <v>0.58064516129032262</v>
      </c>
      <c r="J69" s="20" t="s">
        <v>772</v>
      </c>
      <c r="K69" s="20" t="s">
        <v>773</v>
      </c>
      <c r="L69" s="20" t="s">
        <v>70</v>
      </c>
      <c r="M69" s="20" t="s">
        <v>725</v>
      </c>
      <c r="N69" s="20" t="s">
        <v>118</v>
      </c>
      <c r="O69" s="20" t="s">
        <v>279</v>
      </c>
      <c r="P69" s="20" t="s">
        <v>70</v>
      </c>
      <c r="Q69" s="20" t="s">
        <v>774</v>
      </c>
      <c r="R69" s="20" t="s">
        <v>90</v>
      </c>
      <c r="S69" s="36" t="s">
        <v>122</v>
      </c>
      <c r="T69" s="20" t="s">
        <v>78</v>
      </c>
      <c r="U69" s="20" t="s">
        <v>107</v>
      </c>
      <c r="V69" s="20" t="s">
        <v>123</v>
      </c>
      <c r="W69" s="20" t="s">
        <v>136</v>
      </c>
      <c r="X69" s="20" t="s">
        <v>109</v>
      </c>
      <c r="Y69" s="20" t="s">
        <v>81</v>
      </c>
      <c r="Z69" s="20" t="s">
        <v>165</v>
      </c>
      <c r="AA69" s="21" t="s">
        <v>775</v>
      </c>
      <c r="AB69" s="14" t="s">
        <v>776</v>
      </c>
      <c r="AC69" s="10" t="s">
        <v>777</v>
      </c>
    </row>
    <row r="70" spans="1:29" ht="48" customHeight="1" x14ac:dyDescent="0.3">
      <c r="A70" s="27">
        <v>68</v>
      </c>
      <c r="B70" s="10" t="s">
        <v>8</v>
      </c>
      <c r="C70" s="8" t="s">
        <v>778</v>
      </c>
      <c r="D70" s="8" t="s">
        <v>755</v>
      </c>
      <c r="E70" s="10" t="s">
        <v>779</v>
      </c>
      <c r="F70" s="8">
        <v>2022</v>
      </c>
      <c r="G70" s="9" t="s">
        <v>780</v>
      </c>
      <c r="H70" s="9" t="s">
        <v>771</v>
      </c>
      <c r="I70" s="15">
        <f>36/62</f>
        <v>0.58064516129032262</v>
      </c>
      <c r="J70" s="20" t="s">
        <v>772</v>
      </c>
      <c r="K70" s="20" t="s">
        <v>773</v>
      </c>
      <c r="L70" s="20" t="s">
        <v>70</v>
      </c>
      <c r="M70" s="20" t="s">
        <v>725</v>
      </c>
      <c r="N70" s="20" t="s">
        <v>118</v>
      </c>
      <c r="O70" s="20" t="s">
        <v>279</v>
      </c>
      <c r="P70" s="20" t="s">
        <v>70</v>
      </c>
      <c r="Q70" s="20" t="s">
        <v>774</v>
      </c>
      <c r="R70" s="20" t="s">
        <v>90</v>
      </c>
      <c r="S70" s="36" t="s">
        <v>122</v>
      </c>
      <c r="T70" s="20" t="s">
        <v>78</v>
      </c>
      <c r="U70" s="20" t="s">
        <v>107</v>
      </c>
      <c r="V70" s="20" t="s">
        <v>123</v>
      </c>
      <c r="W70" s="20" t="s">
        <v>136</v>
      </c>
      <c r="X70" s="20" t="s">
        <v>109</v>
      </c>
      <c r="Y70" s="20" t="s">
        <v>81</v>
      </c>
      <c r="Z70" s="20" t="s">
        <v>165</v>
      </c>
      <c r="AA70" s="21" t="s">
        <v>775</v>
      </c>
      <c r="AB70" s="14" t="s">
        <v>776</v>
      </c>
      <c r="AC70" s="10" t="s">
        <v>777</v>
      </c>
    </row>
    <row r="71" spans="1:29" ht="48" customHeight="1" x14ac:dyDescent="0.3">
      <c r="A71" s="27">
        <v>69</v>
      </c>
      <c r="B71" s="10" t="s">
        <v>8</v>
      </c>
      <c r="C71" s="8" t="s">
        <v>716</v>
      </c>
      <c r="D71" s="8" t="s">
        <v>781</v>
      </c>
      <c r="E71" s="10" t="s">
        <v>782</v>
      </c>
      <c r="F71" s="8">
        <v>2025</v>
      </c>
      <c r="G71" s="9" t="s">
        <v>783</v>
      </c>
      <c r="H71" s="9" t="s">
        <v>784</v>
      </c>
      <c r="I71" s="15">
        <f>46/62</f>
        <v>0.74193548387096775</v>
      </c>
      <c r="J71" s="20" t="s">
        <v>785</v>
      </c>
      <c r="K71" s="20" t="s">
        <v>786</v>
      </c>
      <c r="L71" s="20" t="s">
        <v>70</v>
      </c>
      <c r="M71" s="20" t="s">
        <v>88</v>
      </c>
      <c r="N71" s="20" t="s">
        <v>73</v>
      </c>
      <c r="O71" s="36" t="s">
        <v>787</v>
      </c>
      <c r="P71" s="20" t="s">
        <v>70</v>
      </c>
      <c r="Q71" s="20" t="s">
        <v>788</v>
      </c>
      <c r="R71" s="20" t="s">
        <v>76</v>
      </c>
      <c r="S71" s="20" t="s">
        <v>92</v>
      </c>
      <c r="T71" s="20" t="s">
        <v>78</v>
      </c>
      <c r="U71" s="20" t="s">
        <v>79</v>
      </c>
      <c r="V71" s="20" t="s">
        <v>123</v>
      </c>
      <c r="W71" s="20" t="s">
        <v>148</v>
      </c>
      <c r="X71" s="20" t="s">
        <v>85</v>
      </c>
      <c r="Y71" s="20" t="s">
        <v>81</v>
      </c>
      <c r="Z71" s="20" t="s">
        <v>789</v>
      </c>
      <c r="AA71" s="21" t="s">
        <v>93</v>
      </c>
      <c r="AB71" s="14" t="s">
        <v>96</v>
      </c>
      <c r="AC71" s="10" t="s">
        <v>94</v>
      </c>
    </row>
    <row r="72" spans="1:29" ht="48" customHeight="1" x14ac:dyDescent="0.3">
      <c r="A72" s="27">
        <v>70</v>
      </c>
      <c r="B72" s="10" t="s">
        <v>8</v>
      </c>
      <c r="C72" s="8" t="s">
        <v>717</v>
      </c>
      <c r="D72" s="8" t="s">
        <v>790</v>
      </c>
      <c r="E72" s="10" t="s">
        <v>791</v>
      </c>
      <c r="F72" s="8">
        <v>2025</v>
      </c>
      <c r="G72" s="9" t="s">
        <v>792</v>
      </c>
      <c r="H72" s="9" t="s">
        <v>793</v>
      </c>
      <c r="I72" s="15">
        <f>47/63</f>
        <v>0.74603174603174605</v>
      </c>
      <c r="J72" s="20" t="s">
        <v>794</v>
      </c>
      <c r="K72" s="20" t="s">
        <v>795</v>
      </c>
      <c r="L72" s="20" t="s">
        <v>70</v>
      </c>
      <c r="M72" s="20" t="s">
        <v>796</v>
      </c>
      <c r="N72" s="20" t="s">
        <v>118</v>
      </c>
      <c r="O72" s="20" t="s">
        <v>279</v>
      </c>
      <c r="P72" s="20" t="s">
        <v>70</v>
      </c>
      <c r="Q72" s="20" t="s">
        <v>797</v>
      </c>
      <c r="R72" s="20" t="s">
        <v>76</v>
      </c>
      <c r="S72" s="20" t="s">
        <v>106</v>
      </c>
      <c r="T72" s="20" t="s">
        <v>78</v>
      </c>
      <c r="U72" s="20" t="s">
        <v>79</v>
      </c>
      <c r="V72" s="20" t="s">
        <v>80</v>
      </c>
      <c r="W72" s="20" t="s">
        <v>798</v>
      </c>
      <c r="X72" s="20" t="s">
        <v>109</v>
      </c>
      <c r="Y72" s="20" t="s">
        <v>81</v>
      </c>
      <c r="Z72" s="20" t="s">
        <v>165</v>
      </c>
      <c r="AA72" s="21" t="s">
        <v>799</v>
      </c>
      <c r="AB72" s="14" t="s">
        <v>800</v>
      </c>
      <c r="AC72" s="10" t="s">
        <v>801</v>
      </c>
    </row>
    <row r="73" spans="1:29" ht="48" customHeight="1" x14ac:dyDescent="0.3">
      <c r="A73" s="27">
        <v>71</v>
      </c>
      <c r="B73" s="10" t="s">
        <v>8</v>
      </c>
      <c r="C73" s="8" t="s">
        <v>718</v>
      </c>
      <c r="D73" s="8" t="s">
        <v>802</v>
      </c>
      <c r="E73" s="10" t="s">
        <v>803</v>
      </c>
      <c r="F73" s="8">
        <v>2026</v>
      </c>
      <c r="G73" s="9" t="s">
        <v>804</v>
      </c>
      <c r="H73" s="9" t="s">
        <v>805</v>
      </c>
      <c r="I73" s="15">
        <f>46/63</f>
        <v>0.73015873015873012</v>
      </c>
      <c r="J73" s="20" t="s">
        <v>806</v>
      </c>
      <c r="K73" s="20" t="s">
        <v>807</v>
      </c>
      <c r="L73" s="20" t="s">
        <v>70</v>
      </c>
      <c r="M73" s="20" t="s">
        <v>808</v>
      </c>
      <c r="N73" s="20" t="s">
        <v>73</v>
      </c>
      <c r="O73" s="20" t="s">
        <v>235</v>
      </c>
      <c r="P73" s="20" t="s">
        <v>70</v>
      </c>
      <c r="Q73" s="20" t="s">
        <v>809</v>
      </c>
      <c r="R73" s="20" t="s">
        <v>90</v>
      </c>
      <c r="S73" s="20" t="s">
        <v>92</v>
      </c>
      <c r="T73" s="20" t="s">
        <v>78</v>
      </c>
      <c r="U73" s="20" t="s">
        <v>79</v>
      </c>
      <c r="V73" s="20" t="s">
        <v>80</v>
      </c>
      <c r="W73" s="20" t="s">
        <v>237</v>
      </c>
      <c r="X73" s="20" t="s">
        <v>85</v>
      </c>
      <c r="Y73" s="20" t="s">
        <v>81</v>
      </c>
      <c r="Z73" s="20" t="s">
        <v>82</v>
      </c>
      <c r="AA73" s="21" t="s">
        <v>810</v>
      </c>
      <c r="AB73" s="14" t="s">
        <v>811</v>
      </c>
      <c r="AC73" s="10" t="s">
        <v>812</v>
      </c>
    </row>
    <row r="74" spans="1:29" ht="48" customHeight="1" x14ac:dyDescent="0.3">
      <c r="A74" s="27">
        <v>72</v>
      </c>
      <c r="B74" s="10" t="s">
        <v>816</v>
      </c>
      <c r="C74" s="8" t="s">
        <v>815</v>
      </c>
      <c r="D74" s="8" t="s">
        <v>814</v>
      </c>
      <c r="E74" s="38" t="s">
        <v>813</v>
      </c>
      <c r="F74" s="8">
        <v>2016</v>
      </c>
      <c r="G74" s="9" t="s">
        <v>817</v>
      </c>
      <c r="H74" s="9" t="s">
        <v>818</v>
      </c>
      <c r="I74" s="15">
        <f>40/59</f>
        <v>0.67796610169491522</v>
      </c>
      <c r="J74" s="20" t="s">
        <v>819</v>
      </c>
      <c r="K74" s="20" t="s">
        <v>154</v>
      </c>
      <c r="L74" s="20" t="s">
        <v>70</v>
      </c>
      <c r="M74" s="36" t="s">
        <v>820</v>
      </c>
      <c r="N74" s="20" t="s">
        <v>73</v>
      </c>
      <c r="O74" s="20" t="s">
        <v>615</v>
      </c>
      <c r="P74" s="20" t="s">
        <v>615</v>
      </c>
      <c r="Q74" s="20" t="s">
        <v>821</v>
      </c>
      <c r="R74" s="20" t="s">
        <v>76</v>
      </c>
      <c r="S74" s="20" t="s">
        <v>92</v>
      </c>
      <c r="T74" s="20" t="s">
        <v>78</v>
      </c>
      <c r="U74" s="20" t="s">
        <v>79</v>
      </c>
      <c r="V74" s="20" t="s">
        <v>80</v>
      </c>
      <c r="W74" s="20" t="s">
        <v>388</v>
      </c>
      <c r="X74" s="20" t="s">
        <v>109</v>
      </c>
      <c r="Y74" s="20" t="s">
        <v>81</v>
      </c>
      <c r="Z74" s="20" t="s">
        <v>125</v>
      </c>
      <c r="AA74" s="21" t="s">
        <v>822</v>
      </c>
      <c r="AB74" s="14" t="s">
        <v>823</v>
      </c>
      <c r="AC74" s="10" t="s">
        <v>824</v>
      </c>
    </row>
    <row r="75" spans="1:29" ht="48" customHeight="1" x14ac:dyDescent="0.3">
      <c r="A75" s="27">
        <v>73</v>
      </c>
      <c r="B75" s="10" t="s">
        <v>816</v>
      </c>
      <c r="C75" s="8" t="s">
        <v>826</v>
      </c>
      <c r="D75" s="8" t="s">
        <v>827</v>
      </c>
      <c r="E75" s="10" t="s">
        <v>825</v>
      </c>
      <c r="F75" s="8">
        <v>2016</v>
      </c>
      <c r="G75" s="9" t="s">
        <v>828</v>
      </c>
      <c r="H75" s="9" t="s">
        <v>829</v>
      </c>
      <c r="I75" s="15">
        <f>38/58</f>
        <v>0.65517241379310343</v>
      </c>
      <c r="J75" s="20" t="s">
        <v>830</v>
      </c>
      <c r="K75" s="20" t="s">
        <v>154</v>
      </c>
      <c r="L75" s="20" t="s">
        <v>70</v>
      </c>
      <c r="M75" s="20" t="s">
        <v>292</v>
      </c>
      <c r="N75" s="20" t="s">
        <v>205</v>
      </c>
      <c r="O75" s="20" t="s">
        <v>615</v>
      </c>
      <c r="P75" s="20" t="s">
        <v>615</v>
      </c>
      <c r="Q75" s="20" t="s">
        <v>831</v>
      </c>
      <c r="R75" s="20" t="s">
        <v>90</v>
      </c>
      <c r="S75" s="20" t="s">
        <v>92</v>
      </c>
      <c r="T75" s="20" t="s">
        <v>78</v>
      </c>
      <c r="U75" s="20" t="s">
        <v>79</v>
      </c>
      <c r="V75" s="20" t="s">
        <v>80</v>
      </c>
      <c r="W75" s="20" t="s">
        <v>388</v>
      </c>
      <c r="X75" s="20" t="s">
        <v>109</v>
      </c>
      <c r="Y75" s="20" t="s">
        <v>81</v>
      </c>
      <c r="Z75" s="20" t="s">
        <v>125</v>
      </c>
      <c r="AA75" s="21" t="s">
        <v>832</v>
      </c>
      <c r="AB75" s="14" t="s">
        <v>833</v>
      </c>
      <c r="AC75" s="10" t="s">
        <v>834</v>
      </c>
    </row>
    <row r="76" spans="1:29" ht="48" customHeight="1" x14ac:dyDescent="0.3">
      <c r="A76" s="27">
        <v>74</v>
      </c>
      <c r="B76" s="10" t="s">
        <v>816</v>
      </c>
      <c r="C76" s="8" t="s">
        <v>836</v>
      </c>
      <c r="D76" s="8" t="s">
        <v>837</v>
      </c>
      <c r="E76" s="10" t="s">
        <v>835</v>
      </c>
      <c r="F76" s="8">
        <v>2017</v>
      </c>
      <c r="G76" s="9" t="s">
        <v>838</v>
      </c>
      <c r="H76" s="9" t="s">
        <v>839</v>
      </c>
      <c r="I76" s="15">
        <f>29/61</f>
        <v>0.47540983606557374</v>
      </c>
      <c r="J76" s="20" t="s">
        <v>840</v>
      </c>
      <c r="K76" s="20" t="s">
        <v>841</v>
      </c>
      <c r="L76" s="20" t="s">
        <v>70</v>
      </c>
      <c r="M76" s="36" t="s">
        <v>820</v>
      </c>
      <c r="N76" s="20" t="s">
        <v>842</v>
      </c>
      <c r="O76" s="20" t="s">
        <v>615</v>
      </c>
      <c r="P76" s="20" t="s">
        <v>615</v>
      </c>
      <c r="Q76" s="20" t="s">
        <v>843</v>
      </c>
      <c r="R76" s="20" t="s">
        <v>76</v>
      </c>
      <c r="S76" s="20" t="s">
        <v>77</v>
      </c>
      <c r="T76" s="20" t="s">
        <v>193</v>
      </c>
      <c r="U76" s="20" t="s">
        <v>107</v>
      </c>
      <c r="V76" s="20" t="s">
        <v>123</v>
      </c>
      <c r="W76" s="20" t="s">
        <v>388</v>
      </c>
      <c r="X76" s="20" t="s">
        <v>109</v>
      </c>
      <c r="Y76" s="20" t="s">
        <v>281</v>
      </c>
      <c r="Z76" s="20" t="s">
        <v>154</v>
      </c>
      <c r="AA76" s="21" t="s">
        <v>844</v>
      </c>
      <c r="AB76" s="28" t="s">
        <v>845</v>
      </c>
      <c r="AC76" s="10" t="s">
        <v>846</v>
      </c>
    </row>
    <row r="77" spans="1:29" ht="48" customHeight="1" x14ac:dyDescent="0.3">
      <c r="A77" s="27">
        <v>75</v>
      </c>
      <c r="B77" s="10" t="s">
        <v>816</v>
      </c>
      <c r="C77" s="8" t="s">
        <v>428</v>
      </c>
      <c r="D77" s="36" t="s">
        <v>429</v>
      </c>
      <c r="E77" s="10" t="s">
        <v>847</v>
      </c>
      <c r="F77" s="8">
        <v>2017</v>
      </c>
      <c r="G77" s="9" t="s">
        <v>431</v>
      </c>
      <c r="H77" s="9" t="s">
        <v>848</v>
      </c>
      <c r="I77" s="15">
        <f>42/62</f>
        <v>0.67741935483870963</v>
      </c>
      <c r="J77" s="20" t="s">
        <v>849</v>
      </c>
      <c r="K77" s="20" t="s">
        <v>850</v>
      </c>
      <c r="L77" s="20" t="s">
        <v>313</v>
      </c>
      <c r="M77" s="20" t="s">
        <v>820</v>
      </c>
      <c r="N77" s="20" t="s">
        <v>73</v>
      </c>
      <c r="O77" s="20" t="s">
        <v>615</v>
      </c>
      <c r="P77" s="20" t="s">
        <v>615</v>
      </c>
      <c r="Q77" s="36" t="s">
        <v>191</v>
      </c>
      <c r="R77" s="20" t="s">
        <v>90</v>
      </c>
      <c r="S77" s="20" t="s">
        <v>77</v>
      </c>
      <c r="T77" s="20" t="s">
        <v>193</v>
      </c>
      <c r="U77" s="20" t="s">
        <v>107</v>
      </c>
      <c r="V77" s="20" t="s">
        <v>80</v>
      </c>
      <c r="W77" s="20" t="s">
        <v>124</v>
      </c>
      <c r="X77" s="36" t="s">
        <v>851</v>
      </c>
      <c r="Y77" s="20" t="s">
        <v>81</v>
      </c>
      <c r="Z77" s="20" t="s">
        <v>125</v>
      </c>
      <c r="AA77" s="21" t="s">
        <v>503</v>
      </c>
      <c r="AB77" s="14" t="s">
        <v>504</v>
      </c>
      <c r="AC77" s="10" t="s">
        <v>852</v>
      </c>
    </row>
    <row r="78" spans="1:29" ht="48" customHeight="1" x14ac:dyDescent="0.3">
      <c r="A78" s="27">
        <v>76</v>
      </c>
      <c r="B78" s="10" t="s">
        <v>305</v>
      </c>
      <c r="C78" s="8" t="s">
        <v>853</v>
      </c>
      <c r="D78" s="8" t="s">
        <v>854</v>
      </c>
      <c r="E78" s="10" t="s">
        <v>855</v>
      </c>
      <c r="F78" s="8">
        <v>2017</v>
      </c>
      <c r="G78" s="9" t="s">
        <v>856</v>
      </c>
      <c r="H78" s="9" t="s">
        <v>857</v>
      </c>
      <c r="I78" s="15">
        <f>46/66</f>
        <v>0.69696969696969702</v>
      </c>
      <c r="J78" s="20" t="s">
        <v>858</v>
      </c>
      <c r="K78" s="20" t="s">
        <v>859</v>
      </c>
      <c r="L78" s="20" t="s">
        <v>70</v>
      </c>
      <c r="M78" s="20" t="s">
        <v>117</v>
      </c>
      <c r="N78" s="20" t="s">
        <v>118</v>
      </c>
      <c r="O78" s="20" t="s">
        <v>119</v>
      </c>
      <c r="P78" s="20" t="s">
        <v>70</v>
      </c>
      <c r="Q78" s="20" t="s">
        <v>860</v>
      </c>
      <c r="R78" s="20" t="s">
        <v>90</v>
      </c>
      <c r="S78" s="20" t="s">
        <v>122</v>
      </c>
      <c r="T78" s="20" t="s">
        <v>193</v>
      </c>
      <c r="U78" s="20" t="s">
        <v>79</v>
      </c>
      <c r="V78" s="20" t="s">
        <v>80</v>
      </c>
      <c r="W78" s="20" t="s">
        <v>388</v>
      </c>
      <c r="X78" s="20" t="s">
        <v>109</v>
      </c>
      <c r="Y78" s="20" t="s">
        <v>81</v>
      </c>
      <c r="Z78" s="20" t="s">
        <v>125</v>
      </c>
      <c r="AA78" s="21" t="s">
        <v>365</v>
      </c>
      <c r="AB78" s="14" t="s">
        <v>366</v>
      </c>
      <c r="AC78" s="10" t="s">
        <v>367</v>
      </c>
    </row>
    <row r="79" spans="1:29" ht="48" customHeight="1" x14ac:dyDescent="0.3">
      <c r="A79" s="27">
        <v>77</v>
      </c>
      <c r="B79" s="10" t="s">
        <v>305</v>
      </c>
      <c r="C79" s="8" t="s">
        <v>861</v>
      </c>
      <c r="D79" s="8" t="s">
        <v>439</v>
      </c>
      <c r="E79" s="10" t="s">
        <v>440</v>
      </c>
      <c r="F79" s="8">
        <v>2017</v>
      </c>
      <c r="G79" s="9" t="s">
        <v>441</v>
      </c>
      <c r="H79" s="9" t="s">
        <v>862</v>
      </c>
      <c r="I79" s="15">
        <f>44/62</f>
        <v>0.70967741935483875</v>
      </c>
      <c r="J79" s="20" t="s">
        <v>863</v>
      </c>
      <c r="K79" s="20" t="s">
        <v>864</v>
      </c>
      <c r="L79" s="20" t="s">
        <v>313</v>
      </c>
      <c r="M79" s="20" t="s">
        <v>865</v>
      </c>
      <c r="N79" s="20" t="s">
        <v>866</v>
      </c>
      <c r="O79" s="20" t="s">
        <v>73</v>
      </c>
      <c r="P79" s="20" t="s">
        <v>90</v>
      </c>
      <c r="Q79" s="20" t="s">
        <v>867</v>
      </c>
      <c r="R79" s="20" t="s">
        <v>90</v>
      </c>
      <c r="S79" s="20" t="s">
        <v>77</v>
      </c>
      <c r="T79" s="20" t="s">
        <v>78</v>
      </c>
      <c r="U79" s="20" t="s">
        <v>107</v>
      </c>
      <c r="V79" s="20" t="s">
        <v>80</v>
      </c>
      <c r="W79" s="20" t="s">
        <v>329</v>
      </c>
      <c r="X79" s="20" t="s">
        <v>109</v>
      </c>
      <c r="Y79" s="20" t="s">
        <v>81</v>
      </c>
      <c r="Z79" s="20" t="s">
        <v>330</v>
      </c>
      <c r="AA79" s="21" t="s">
        <v>503</v>
      </c>
      <c r="AB79" s="14" t="s">
        <v>504</v>
      </c>
      <c r="AC79" s="10" t="s">
        <v>505</v>
      </c>
    </row>
    <row r="80" spans="1:29" ht="48" customHeight="1" x14ac:dyDescent="0.3">
      <c r="A80" s="27">
        <v>78</v>
      </c>
      <c r="B80" s="10" t="s">
        <v>305</v>
      </c>
      <c r="C80" s="8" t="s">
        <v>870</v>
      </c>
      <c r="D80" s="8" t="s">
        <v>869</v>
      </c>
      <c r="E80" s="10" t="s">
        <v>868</v>
      </c>
      <c r="F80" s="8">
        <v>2017</v>
      </c>
      <c r="G80" s="9" t="s">
        <v>871</v>
      </c>
      <c r="H80" s="9" t="s">
        <v>872</v>
      </c>
      <c r="I80" s="15">
        <f>45/66</f>
        <v>0.68181818181818177</v>
      </c>
      <c r="J80" s="20" t="s">
        <v>873</v>
      </c>
      <c r="K80" s="20" t="s">
        <v>874</v>
      </c>
      <c r="L80" s="20" t="s">
        <v>70</v>
      </c>
      <c r="M80" s="20" t="s">
        <v>875</v>
      </c>
      <c r="N80" s="20" t="s">
        <v>118</v>
      </c>
      <c r="O80" s="20" t="s">
        <v>876</v>
      </c>
      <c r="P80" s="20" t="s">
        <v>70</v>
      </c>
      <c r="Q80" s="20" t="s">
        <v>877</v>
      </c>
      <c r="R80" s="20" t="s">
        <v>76</v>
      </c>
      <c r="S80" s="20" t="s">
        <v>122</v>
      </c>
      <c r="T80" s="20" t="s">
        <v>193</v>
      </c>
      <c r="U80" s="20" t="s">
        <v>107</v>
      </c>
      <c r="V80" s="20" t="s">
        <v>80</v>
      </c>
      <c r="W80" s="20" t="s">
        <v>108</v>
      </c>
      <c r="X80" s="20" t="s">
        <v>109</v>
      </c>
      <c r="Y80" s="20" t="s">
        <v>81</v>
      </c>
      <c r="Z80" s="20" t="s">
        <v>82</v>
      </c>
      <c r="AA80" s="21" t="s">
        <v>799</v>
      </c>
      <c r="AB80" s="14" t="s">
        <v>800</v>
      </c>
      <c r="AC80" s="10" t="s">
        <v>801</v>
      </c>
    </row>
    <row r="81" spans="1:29" ht="48" customHeight="1" x14ac:dyDescent="0.3">
      <c r="A81" s="27">
        <v>79</v>
      </c>
      <c r="B81" s="10" t="s">
        <v>305</v>
      </c>
      <c r="C81" s="8" t="s">
        <v>878</v>
      </c>
      <c r="D81" s="8" t="s">
        <v>879</v>
      </c>
      <c r="E81" s="10" t="s">
        <v>880</v>
      </c>
      <c r="F81" s="8">
        <v>2017</v>
      </c>
      <c r="G81" s="9" t="s">
        <v>881</v>
      </c>
      <c r="H81" s="9" t="s">
        <v>882</v>
      </c>
      <c r="I81" s="15">
        <f>45/65</f>
        <v>0.69230769230769229</v>
      </c>
      <c r="J81" s="20" t="s">
        <v>883</v>
      </c>
      <c r="K81" s="36" t="s">
        <v>884</v>
      </c>
      <c r="L81" s="20" t="s">
        <v>70</v>
      </c>
      <c r="M81" s="20" t="s">
        <v>153</v>
      </c>
      <c r="N81" s="20" t="s">
        <v>72</v>
      </c>
      <c r="O81" s="20" t="s">
        <v>249</v>
      </c>
      <c r="P81" s="20" t="s">
        <v>70</v>
      </c>
      <c r="Q81" s="20" t="s">
        <v>192</v>
      </c>
      <c r="R81" s="20" t="s">
        <v>76</v>
      </c>
      <c r="S81" s="20" t="s">
        <v>885</v>
      </c>
      <c r="T81" s="20" t="s">
        <v>193</v>
      </c>
      <c r="U81" s="36" t="s">
        <v>79</v>
      </c>
      <c r="V81" s="20" t="s">
        <v>80</v>
      </c>
      <c r="W81" s="20" t="s">
        <v>124</v>
      </c>
      <c r="X81" s="20" t="s">
        <v>109</v>
      </c>
      <c r="Y81" s="20" t="s">
        <v>81</v>
      </c>
      <c r="Z81" s="20" t="s">
        <v>125</v>
      </c>
      <c r="AA81" s="21" t="s">
        <v>810</v>
      </c>
      <c r="AB81" s="14" t="s">
        <v>811</v>
      </c>
      <c r="AC81" s="10" t="s">
        <v>812</v>
      </c>
    </row>
    <row r="82" spans="1:29" ht="48" customHeight="1" x14ac:dyDescent="0.3">
      <c r="A82" s="27">
        <v>80</v>
      </c>
      <c r="B82" s="10" t="s">
        <v>305</v>
      </c>
      <c r="C82" s="8" t="s">
        <v>886</v>
      </c>
      <c r="D82" s="8" t="s">
        <v>887</v>
      </c>
      <c r="E82" s="10" t="s">
        <v>888</v>
      </c>
      <c r="F82" s="8">
        <v>2017</v>
      </c>
      <c r="G82" s="9" t="s">
        <v>889</v>
      </c>
      <c r="H82" s="9" t="s">
        <v>890</v>
      </c>
      <c r="I82" s="15">
        <f>47/64</f>
        <v>0.734375</v>
      </c>
      <c r="J82" s="20" t="s">
        <v>891</v>
      </c>
      <c r="K82" s="20" t="s">
        <v>892</v>
      </c>
      <c r="L82" s="20" t="s">
        <v>70</v>
      </c>
      <c r="M82" s="20" t="s">
        <v>820</v>
      </c>
      <c r="N82" s="20" t="s">
        <v>72</v>
      </c>
      <c r="O82" s="20" t="s">
        <v>249</v>
      </c>
      <c r="P82" s="20" t="s">
        <v>70</v>
      </c>
      <c r="Q82" s="20" t="s">
        <v>191</v>
      </c>
      <c r="R82" s="20" t="s">
        <v>76</v>
      </c>
      <c r="S82" s="20" t="s">
        <v>92</v>
      </c>
      <c r="T82" s="20" t="s">
        <v>193</v>
      </c>
      <c r="U82" s="20" t="s">
        <v>79</v>
      </c>
      <c r="V82" s="20" t="s">
        <v>123</v>
      </c>
      <c r="W82" s="20" t="s">
        <v>388</v>
      </c>
      <c r="X82" s="20" t="s">
        <v>84</v>
      </c>
      <c r="Y82" s="20" t="s">
        <v>81</v>
      </c>
      <c r="Z82" s="20" t="s">
        <v>125</v>
      </c>
      <c r="AA82" s="21" t="s">
        <v>893</v>
      </c>
      <c r="AB82" s="14" t="s">
        <v>894</v>
      </c>
      <c r="AC82" s="10" t="s">
        <v>895</v>
      </c>
    </row>
    <row r="83" spans="1:29" ht="48" customHeight="1" x14ac:dyDescent="0.3">
      <c r="A83" s="27">
        <v>81</v>
      </c>
      <c r="B83" s="10" t="s">
        <v>305</v>
      </c>
      <c r="C83" s="8" t="s">
        <v>896</v>
      </c>
      <c r="D83" s="8" t="s">
        <v>897</v>
      </c>
      <c r="E83" s="10" t="s">
        <v>898</v>
      </c>
      <c r="F83" s="8">
        <v>2017</v>
      </c>
      <c r="G83" s="9" t="s">
        <v>899</v>
      </c>
      <c r="H83" s="9" t="s">
        <v>900</v>
      </c>
      <c r="I83" s="15">
        <f>46/65</f>
        <v>0.70769230769230773</v>
      </c>
      <c r="J83" s="20" t="s">
        <v>901</v>
      </c>
      <c r="K83" s="20" t="s">
        <v>902</v>
      </c>
      <c r="L83" s="20" t="s">
        <v>70</v>
      </c>
      <c r="M83" s="20" t="s">
        <v>153</v>
      </c>
      <c r="N83" s="20" t="s">
        <v>72</v>
      </c>
      <c r="O83" s="20" t="s">
        <v>249</v>
      </c>
      <c r="P83" s="20" t="s">
        <v>70</v>
      </c>
      <c r="Q83" s="20" t="s">
        <v>903</v>
      </c>
      <c r="R83" s="20" t="s">
        <v>90</v>
      </c>
      <c r="S83" s="20" t="s">
        <v>92</v>
      </c>
      <c r="T83" s="20" t="s">
        <v>193</v>
      </c>
      <c r="U83" s="20" t="s">
        <v>79</v>
      </c>
      <c r="V83" s="20" t="s">
        <v>123</v>
      </c>
      <c r="W83" s="20" t="s">
        <v>124</v>
      </c>
      <c r="X83" s="20" t="s">
        <v>109</v>
      </c>
      <c r="Y83" s="20" t="s">
        <v>81</v>
      </c>
      <c r="Z83" s="20" t="s">
        <v>125</v>
      </c>
      <c r="AA83" s="21" t="s">
        <v>904</v>
      </c>
      <c r="AB83" s="14" t="s">
        <v>905</v>
      </c>
      <c r="AC83" s="10" t="s">
        <v>906</v>
      </c>
    </row>
    <row r="84" spans="1:29" ht="48" customHeight="1" x14ac:dyDescent="0.3">
      <c r="A84" s="27">
        <v>82</v>
      </c>
      <c r="B84" s="10" t="s">
        <v>305</v>
      </c>
      <c r="C84" s="8" t="s">
        <v>507</v>
      </c>
      <c r="D84" s="8" t="s">
        <v>907</v>
      </c>
      <c r="E84" s="10" t="s">
        <v>508</v>
      </c>
      <c r="F84" s="8">
        <v>2017</v>
      </c>
      <c r="G84" s="9" t="s">
        <v>509</v>
      </c>
      <c r="H84" s="28" t="s">
        <v>510</v>
      </c>
      <c r="I84" s="15">
        <f>46/67</f>
        <v>0.68656716417910446</v>
      </c>
      <c r="J84" s="20" t="s">
        <v>908</v>
      </c>
      <c r="K84" s="20" t="s">
        <v>909</v>
      </c>
      <c r="L84" s="20" t="s">
        <v>70</v>
      </c>
      <c r="M84" s="20" t="s">
        <v>488</v>
      </c>
      <c r="N84" s="20" t="s">
        <v>102</v>
      </c>
      <c r="O84" s="20" t="s">
        <v>910</v>
      </c>
      <c r="P84" s="20" t="s">
        <v>70</v>
      </c>
      <c r="Q84" s="20" t="s">
        <v>911</v>
      </c>
      <c r="R84" s="20" t="s">
        <v>173</v>
      </c>
      <c r="S84" s="20" t="s">
        <v>106</v>
      </c>
      <c r="T84" s="36" t="s">
        <v>78</v>
      </c>
      <c r="U84" s="20" t="s">
        <v>107</v>
      </c>
      <c r="V84" s="20" t="s">
        <v>123</v>
      </c>
      <c r="W84" s="20" t="s">
        <v>491</v>
      </c>
      <c r="X84" s="20" t="s">
        <v>85</v>
      </c>
      <c r="Y84" s="20" t="s">
        <v>81</v>
      </c>
      <c r="Z84" s="20" t="s">
        <v>468</v>
      </c>
      <c r="AA84" s="21"/>
      <c r="AB84" s="21"/>
      <c r="AC84" s="10" t="s">
        <v>9</v>
      </c>
    </row>
    <row r="85" spans="1:29" ht="48" customHeight="1" x14ac:dyDescent="0.3">
      <c r="A85" s="27">
        <v>83</v>
      </c>
      <c r="B85" s="10" t="s">
        <v>305</v>
      </c>
      <c r="C85" s="8" t="s">
        <v>912</v>
      </c>
      <c r="D85" s="8" t="s">
        <v>494</v>
      </c>
      <c r="E85" s="10" t="s">
        <v>495</v>
      </c>
      <c r="F85" s="8">
        <v>2016</v>
      </c>
      <c r="G85" s="9" t="s">
        <v>496</v>
      </c>
      <c r="H85" s="9" t="s">
        <v>497</v>
      </c>
      <c r="I85" s="15">
        <f>46/67</f>
        <v>0.68656716417910446</v>
      </c>
      <c r="J85" s="20" t="s">
        <v>498</v>
      </c>
      <c r="K85" s="20" t="s">
        <v>499</v>
      </c>
      <c r="L85" s="20" t="s">
        <v>70</v>
      </c>
      <c r="M85" s="20" t="s">
        <v>500</v>
      </c>
      <c r="N85" s="20" t="s">
        <v>73</v>
      </c>
      <c r="O85" s="20" t="s">
        <v>501</v>
      </c>
      <c r="P85" s="20" t="s">
        <v>214</v>
      </c>
      <c r="Q85" s="20" t="s">
        <v>502</v>
      </c>
      <c r="R85" s="20" t="s">
        <v>90</v>
      </c>
      <c r="S85" s="20" t="s">
        <v>77</v>
      </c>
      <c r="T85" s="20" t="s">
        <v>193</v>
      </c>
      <c r="U85" s="20" t="s">
        <v>79</v>
      </c>
      <c r="V85" s="20" t="s">
        <v>123</v>
      </c>
      <c r="W85" s="20" t="s">
        <v>83</v>
      </c>
      <c r="X85" s="20" t="s">
        <v>84</v>
      </c>
      <c r="Y85" s="20" t="s">
        <v>81</v>
      </c>
      <c r="Z85" s="20" t="s">
        <v>468</v>
      </c>
      <c r="AA85" s="21" t="s">
        <v>913</v>
      </c>
      <c r="AB85" s="14" t="s">
        <v>914</v>
      </c>
      <c r="AC85" s="10" t="s">
        <v>915</v>
      </c>
    </row>
    <row r="86" spans="1:29" ht="48" customHeight="1" x14ac:dyDescent="0.3">
      <c r="A86" s="27">
        <v>84</v>
      </c>
      <c r="B86" s="10" t="s">
        <v>305</v>
      </c>
      <c r="C86" s="8" t="s">
        <v>916</v>
      </c>
      <c r="D86" s="8" t="s">
        <v>917</v>
      </c>
      <c r="E86" s="10" t="s">
        <v>918</v>
      </c>
      <c r="F86" s="8">
        <v>2017</v>
      </c>
      <c r="G86" s="9" t="s">
        <v>919</v>
      </c>
      <c r="H86" s="9" t="s">
        <v>920</v>
      </c>
      <c r="I86" s="15">
        <f>46/65</f>
        <v>0.70769230769230773</v>
      </c>
      <c r="J86" s="20" t="s">
        <v>921</v>
      </c>
      <c r="K86" s="20" t="s">
        <v>922</v>
      </c>
      <c r="L86" s="20" t="s">
        <v>70</v>
      </c>
      <c r="M86" s="20" t="s">
        <v>71</v>
      </c>
      <c r="N86" s="20" t="s">
        <v>73</v>
      </c>
      <c r="O86" s="20" t="s">
        <v>74</v>
      </c>
      <c r="P86" s="20" t="s">
        <v>70</v>
      </c>
      <c r="Q86" s="20" t="s">
        <v>75</v>
      </c>
      <c r="R86" s="36" t="s">
        <v>90</v>
      </c>
      <c r="S86" s="20" t="s">
        <v>77</v>
      </c>
      <c r="T86" s="20" t="s">
        <v>193</v>
      </c>
      <c r="U86" s="20" t="s">
        <v>79</v>
      </c>
      <c r="V86" s="20" t="s">
        <v>123</v>
      </c>
      <c r="W86" s="20" t="s">
        <v>83</v>
      </c>
      <c r="X86" s="20" t="s">
        <v>109</v>
      </c>
      <c r="Y86" s="20" t="s">
        <v>81</v>
      </c>
      <c r="Z86" s="20" t="s">
        <v>82</v>
      </c>
      <c r="AA86" s="21" t="s">
        <v>113</v>
      </c>
      <c r="AB86" s="14" t="s">
        <v>112</v>
      </c>
      <c r="AC86" s="10" t="s">
        <v>294</v>
      </c>
    </row>
    <row r="87" spans="1:29" ht="48" customHeight="1" x14ac:dyDescent="0.3">
      <c r="A87" s="27">
        <v>85</v>
      </c>
      <c r="B87" s="10" t="s">
        <v>305</v>
      </c>
      <c r="C87" s="8" t="s">
        <v>923</v>
      </c>
      <c r="D87" s="8" t="s">
        <v>924</v>
      </c>
      <c r="E87" s="10" t="s">
        <v>925</v>
      </c>
      <c r="F87" s="8">
        <v>2017</v>
      </c>
      <c r="G87" s="9" t="s">
        <v>926</v>
      </c>
      <c r="H87" s="9" t="s">
        <v>927</v>
      </c>
      <c r="I87" s="15">
        <f>47/67</f>
        <v>0.70149253731343286</v>
      </c>
      <c r="J87" s="20" t="s">
        <v>928</v>
      </c>
      <c r="K87" s="20" t="s">
        <v>929</v>
      </c>
      <c r="L87" s="20" t="s">
        <v>70</v>
      </c>
      <c r="M87" s="20" t="s">
        <v>234</v>
      </c>
      <c r="N87" s="20" t="s">
        <v>73</v>
      </c>
      <c r="O87" s="20" t="s">
        <v>930</v>
      </c>
      <c r="P87" s="20" t="s">
        <v>70</v>
      </c>
      <c r="Q87" s="20" t="s">
        <v>931</v>
      </c>
      <c r="R87" s="20" t="s">
        <v>76</v>
      </c>
      <c r="S87" s="20" t="s">
        <v>77</v>
      </c>
      <c r="T87" s="20" t="s">
        <v>78</v>
      </c>
      <c r="U87" s="20" t="s">
        <v>79</v>
      </c>
      <c r="V87" s="20" t="s">
        <v>80</v>
      </c>
      <c r="W87" s="20" t="s">
        <v>932</v>
      </c>
      <c r="X87" s="20" t="s">
        <v>84</v>
      </c>
      <c r="Y87" s="20" t="s">
        <v>81</v>
      </c>
      <c r="Z87" s="20" t="s">
        <v>82</v>
      </c>
      <c r="AA87" s="21" t="s">
        <v>260</v>
      </c>
      <c r="AB87" s="14" t="s">
        <v>259</v>
      </c>
      <c r="AC87" s="10" t="s">
        <v>261</v>
      </c>
    </row>
    <row r="88" spans="1:29" ht="48" customHeight="1" x14ac:dyDescent="0.3">
      <c r="A88" s="27">
        <v>86</v>
      </c>
      <c r="B88" s="10" t="s">
        <v>305</v>
      </c>
      <c r="C88" s="8" t="s">
        <v>519</v>
      </c>
      <c r="D88" s="8" t="s">
        <v>520</v>
      </c>
      <c r="E88" s="10" t="s">
        <v>933</v>
      </c>
      <c r="F88" s="8">
        <v>2017</v>
      </c>
      <c r="G88" s="9" t="s">
        <v>934</v>
      </c>
      <c r="H88" s="9" t="s">
        <v>523</v>
      </c>
      <c r="I88" s="15">
        <f>45/65</f>
        <v>0.69230769230769229</v>
      </c>
      <c r="J88" s="20" t="s">
        <v>524</v>
      </c>
      <c r="K88" s="20" t="s">
        <v>935</v>
      </c>
      <c r="L88" s="20" t="s">
        <v>70</v>
      </c>
      <c r="M88" s="20" t="s">
        <v>161</v>
      </c>
      <c r="N88" s="20" t="s">
        <v>73</v>
      </c>
      <c r="O88" s="36" t="s">
        <v>936</v>
      </c>
      <c r="P88" s="20" t="s">
        <v>70</v>
      </c>
      <c r="Q88" s="20" t="s">
        <v>526</v>
      </c>
      <c r="R88" s="20" t="s">
        <v>76</v>
      </c>
      <c r="S88" s="20" t="s">
        <v>77</v>
      </c>
      <c r="T88" s="20" t="s">
        <v>78</v>
      </c>
      <c r="U88" s="20" t="s">
        <v>79</v>
      </c>
      <c r="V88" s="20" t="s">
        <v>80</v>
      </c>
      <c r="W88" s="20" t="s">
        <v>329</v>
      </c>
      <c r="X88" s="20" t="s">
        <v>109</v>
      </c>
      <c r="Y88" s="20" t="s">
        <v>81</v>
      </c>
      <c r="Z88" s="20" t="s">
        <v>165</v>
      </c>
      <c r="AA88" s="21" t="s">
        <v>822</v>
      </c>
      <c r="AB88" s="14" t="s">
        <v>937</v>
      </c>
      <c r="AC88" s="10" t="s">
        <v>824</v>
      </c>
    </row>
    <row r="89" spans="1:29" ht="48" customHeight="1" x14ac:dyDescent="0.3">
      <c r="A89" s="27">
        <v>87</v>
      </c>
      <c r="B89" s="10" t="s">
        <v>305</v>
      </c>
      <c r="C89" s="8" t="s">
        <v>481</v>
      </c>
      <c r="D89" s="8" t="s">
        <v>482</v>
      </c>
      <c r="E89" s="10" t="s">
        <v>483</v>
      </c>
      <c r="F89" s="8">
        <v>2016</v>
      </c>
      <c r="G89" s="9" t="s">
        <v>484</v>
      </c>
      <c r="H89" s="9" t="s">
        <v>485</v>
      </c>
      <c r="I89" s="15">
        <f>47/68</f>
        <v>0.69117647058823528</v>
      </c>
      <c r="J89" s="20" t="s">
        <v>486</v>
      </c>
      <c r="K89" s="20" t="s">
        <v>487</v>
      </c>
      <c r="L89" s="20" t="s">
        <v>70</v>
      </c>
      <c r="M89" s="20" t="s">
        <v>938</v>
      </c>
      <c r="N89" s="20" t="s">
        <v>118</v>
      </c>
      <c r="O89" s="20" t="s">
        <v>171</v>
      </c>
      <c r="P89" s="20" t="s">
        <v>70</v>
      </c>
      <c r="Q89" s="20" t="s">
        <v>939</v>
      </c>
      <c r="R89" s="20" t="s">
        <v>173</v>
      </c>
      <c r="S89" s="20" t="s">
        <v>106</v>
      </c>
      <c r="T89" s="20" t="s">
        <v>193</v>
      </c>
      <c r="U89" s="20" t="s">
        <v>107</v>
      </c>
      <c r="V89" s="20" t="s">
        <v>123</v>
      </c>
      <c r="W89" s="20" t="s">
        <v>491</v>
      </c>
      <c r="X89" s="20" t="s">
        <v>109</v>
      </c>
      <c r="Y89" s="20" t="s">
        <v>81</v>
      </c>
      <c r="Z89" s="20" t="s">
        <v>468</v>
      </c>
      <c r="AA89" s="21" t="s">
        <v>258</v>
      </c>
      <c r="AB89" s="14" t="s">
        <v>262</v>
      </c>
      <c r="AC89" s="10" t="s">
        <v>263</v>
      </c>
    </row>
    <row r="90" spans="1:29" ht="48" customHeight="1" x14ac:dyDescent="0.3">
      <c r="A90" s="27">
        <v>88</v>
      </c>
      <c r="B90" s="10" t="s">
        <v>305</v>
      </c>
      <c r="C90" s="8" t="s">
        <v>940</v>
      </c>
      <c r="D90" s="8" t="s">
        <v>941</v>
      </c>
      <c r="E90" s="10" t="s">
        <v>942</v>
      </c>
      <c r="F90" s="8">
        <v>2017</v>
      </c>
      <c r="G90" s="9" t="s">
        <v>943</v>
      </c>
      <c r="H90" s="28" t="s">
        <v>944</v>
      </c>
      <c r="I90" s="15">
        <f>40/59</f>
        <v>0.67796610169491522</v>
      </c>
      <c r="J90" s="20" t="s">
        <v>945</v>
      </c>
      <c r="K90" s="20" t="s">
        <v>946</v>
      </c>
      <c r="L90" s="20" t="s">
        <v>70</v>
      </c>
      <c r="M90" s="20" t="s">
        <v>161</v>
      </c>
      <c r="N90" s="20" t="s">
        <v>73</v>
      </c>
      <c r="O90" s="20" t="s">
        <v>162</v>
      </c>
      <c r="P90" s="20" t="s">
        <v>70</v>
      </c>
      <c r="Q90" s="20" t="s">
        <v>947</v>
      </c>
      <c r="R90" s="20" t="s">
        <v>90</v>
      </c>
      <c r="S90" s="20" t="s">
        <v>106</v>
      </c>
      <c r="T90" s="20" t="s">
        <v>193</v>
      </c>
      <c r="U90" s="20" t="s">
        <v>107</v>
      </c>
      <c r="V90" s="20" t="s">
        <v>123</v>
      </c>
      <c r="W90" s="20" t="s">
        <v>164</v>
      </c>
      <c r="X90" s="20" t="s">
        <v>109</v>
      </c>
      <c r="Y90" s="20" t="s">
        <v>81</v>
      </c>
      <c r="Z90" s="20" t="s">
        <v>165</v>
      </c>
      <c r="AA90" s="21" t="s">
        <v>503</v>
      </c>
      <c r="AB90" s="14" t="s">
        <v>504</v>
      </c>
      <c r="AC90" s="10" t="s">
        <v>505</v>
      </c>
    </row>
    <row r="91" spans="1:29" ht="48" customHeight="1" x14ac:dyDescent="0.3">
      <c r="A91" s="27">
        <v>89</v>
      </c>
      <c r="B91" s="10" t="s">
        <v>305</v>
      </c>
      <c r="C91" s="8" t="s">
        <v>948</v>
      </c>
      <c r="D91" s="8" t="s">
        <v>949</v>
      </c>
      <c r="E91" s="10" t="s">
        <v>950</v>
      </c>
      <c r="F91" s="8">
        <v>2017</v>
      </c>
      <c r="G91" s="9" t="s">
        <v>951</v>
      </c>
      <c r="H91" s="9" t="s">
        <v>952</v>
      </c>
      <c r="I91" s="15">
        <f>48/67</f>
        <v>0.71641791044776115</v>
      </c>
      <c r="J91" s="20" t="s">
        <v>953</v>
      </c>
      <c r="K91" s="20" t="s">
        <v>954</v>
      </c>
      <c r="L91" s="20" t="s">
        <v>70</v>
      </c>
      <c r="M91" s="20" t="s">
        <v>820</v>
      </c>
      <c r="N91" s="20" t="s">
        <v>73</v>
      </c>
      <c r="O91" s="20" t="s">
        <v>249</v>
      </c>
      <c r="P91" s="20" t="s">
        <v>70</v>
      </c>
      <c r="Q91" s="20" t="s">
        <v>192</v>
      </c>
      <c r="R91" s="20" t="s">
        <v>76</v>
      </c>
      <c r="S91" s="20" t="s">
        <v>77</v>
      </c>
      <c r="T91" s="20" t="s">
        <v>193</v>
      </c>
      <c r="U91" s="20" t="s">
        <v>107</v>
      </c>
      <c r="V91" s="20" t="s">
        <v>123</v>
      </c>
      <c r="W91" s="20" t="s">
        <v>124</v>
      </c>
      <c r="X91" s="20" t="s">
        <v>85</v>
      </c>
      <c r="Y91" s="20" t="s">
        <v>81</v>
      </c>
      <c r="Z91" s="20" t="s">
        <v>125</v>
      </c>
      <c r="AA91" s="21" t="s">
        <v>479</v>
      </c>
      <c r="AB91" s="14" t="s">
        <v>478</v>
      </c>
      <c r="AC91" s="10" t="s">
        <v>480</v>
      </c>
    </row>
    <row r="92" spans="1:29" ht="48" customHeight="1" x14ac:dyDescent="0.3">
      <c r="A92" s="27">
        <v>90</v>
      </c>
      <c r="B92" s="10" t="s">
        <v>305</v>
      </c>
      <c r="C92" s="8" t="s">
        <v>955</v>
      </c>
      <c r="D92" s="8" t="s">
        <v>471</v>
      </c>
      <c r="E92" s="10" t="s">
        <v>956</v>
      </c>
      <c r="F92" s="8">
        <v>2016</v>
      </c>
      <c r="G92" s="9" t="s">
        <v>957</v>
      </c>
      <c r="H92" s="9" t="s">
        <v>474</v>
      </c>
      <c r="I92" s="15">
        <f>40/61</f>
        <v>0.65573770491803274</v>
      </c>
      <c r="J92" s="20" t="s">
        <v>958</v>
      </c>
      <c r="K92" s="20" t="s">
        <v>959</v>
      </c>
      <c r="L92" s="20" t="s">
        <v>70</v>
      </c>
      <c r="M92" s="20" t="s">
        <v>960</v>
      </c>
      <c r="N92" s="20" t="s">
        <v>73</v>
      </c>
      <c r="O92" s="20" t="s">
        <v>615</v>
      </c>
      <c r="P92" s="20" t="s">
        <v>615</v>
      </c>
      <c r="Q92" s="20" t="s">
        <v>477</v>
      </c>
      <c r="R92" s="20" t="s">
        <v>76</v>
      </c>
      <c r="S92" s="20" t="s">
        <v>77</v>
      </c>
      <c r="T92" s="20" t="s">
        <v>193</v>
      </c>
      <c r="U92" s="20" t="s">
        <v>107</v>
      </c>
      <c r="V92" s="20" t="s">
        <v>123</v>
      </c>
      <c r="W92" s="20" t="s">
        <v>124</v>
      </c>
      <c r="X92" s="20" t="s">
        <v>85</v>
      </c>
      <c r="Y92" s="20" t="s">
        <v>137</v>
      </c>
      <c r="Z92" s="20" t="s">
        <v>410</v>
      </c>
      <c r="AA92" s="21" t="s">
        <v>961</v>
      </c>
      <c r="AB92" s="14" t="s">
        <v>962</v>
      </c>
      <c r="AC92" s="10" t="s">
        <v>963</v>
      </c>
    </row>
    <row r="93" spans="1:29" ht="48" customHeight="1" x14ac:dyDescent="0.3">
      <c r="A93" s="27">
        <v>91</v>
      </c>
      <c r="B93" s="10" t="s">
        <v>305</v>
      </c>
      <c r="C93" s="8" t="s">
        <v>964</v>
      </c>
      <c r="D93" s="8" t="s">
        <v>965</v>
      </c>
      <c r="E93" s="10" t="s">
        <v>966</v>
      </c>
      <c r="F93" s="8">
        <v>2016</v>
      </c>
      <c r="G93" s="9" t="s">
        <v>967</v>
      </c>
      <c r="H93" s="28" t="s">
        <v>968</v>
      </c>
      <c r="I93" s="15">
        <f>46/66</f>
        <v>0.69696969696969702</v>
      </c>
      <c r="J93" s="35" t="s">
        <v>969</v>
      </c>
      <c r="K93" s="20" t="s">
        <v>465</v>
      </c>
      <c r="L93" s="20" t="s">
        <v>70</v>
      </c>
      <c r="M93" s="20" t="s">
        <v>466</v>
      </c>
      <c r="N93" s="20" t="s">
        <v>118</v>
      </c>
      <c r="O93" s="20" t="s">
        <v>970</v>
      </c>
      <c r="P93" s="36" t="s">
        <v>70</v>
      </c>
      <c r="Q93" s="20" t="s">
        <v>467</v>
      </c>
      <c r="R93" s="20" t="s">
        <v>76</v>
      </c>
      <c r="S93" s="20" t="s">
        <v>77</v>
      </c>
      <c r="T93" s="20" t="s">
        <v>193</v>
      </c>
      <c r="U93" s="20" t="s">
        <v>107</v>
      </c>
      <c r="V93" s="20" t="s">
        <v>123</v>
      </c>
      <c r="W93" s="20" t="s">
        <v>424</v>
      </c>
      <c r="X93" s="20" t="s">
        <v>109</v>
      </c>
      <c r="Y93" s="20" t="s">
        <v>81</v>
      </c>
      <c r="Z93" s="20" t="s">
        <v>110</v>
      </c>
      <c r="AA93" s="21" t="s">
        <v>971</v>
      </c>
      <c r="AB93" s="14" t="s">
        <v>972</v>
      </c>
      <c r="AC93" s="10" t="s">
        <v>973</v>
      </c>
    </row>
    <row r="94" spans="1:29" ht="48" customHeight="1" x14ac:dyDescent="0.3">
      <c r="A94" s="27">
        <v>92</v>
      </c>
      <c r="B94" s="10" t="s">
        <v>305</v>
      </c>
      <c r="C94" s="8" t="s">
        <v>974</v>
      </c>
      <c r="D94" s="8" t="s">
        <v>451</v>
      </c>
      <c r="E94" s="10" t="s">
        <v>975</v>
      </c>
      <c r="F94" s="8">
        <v>2017</v>
      </c>
      <c r="G94" s="9" t="s">
        <v>976</v>
      </c>
      <c r="H94" s="9" t="s">
        <v>454</v>
      </c>
      <c r="I94" s="15">
        <f>41/62</f>
        <v>0.66129032258064513</v>
      </c>
      <c r="J94" s="20" t="s">
        <v>977</v>
      </c>
      <c r="K94" s="20" t="s">
        <v>456</v>
      </c>
      <c r="L94" s="20" t="s">
        <v>70</v>
      </c>
      <c r="M94" s="20" t="s">
        <v>101</v>
      </c>
      <c r="N94" s="20" t="s">
        <v>118</v>
      </c>
      <c r="O94" s="20" t="s">
        <v>980</v>
      </c>
      <c r="P94" s="20" t="s">
        <v>979</v>
      </c>
      <c r="Q94" s="20" t="s">
        <v>978</v>
      </c>
      <c r="R94" s="20" t="s">
        <v>90</v>
      </c>
      <c r="S94" s="20" t="s">
        <v>77</v>
      </c>
      <c r="T94" s="20" t="s">
        <v>193</v>
      </c>
      <c r="U94" s="20" t="s">
        <v>107</v>
      </c>
      <c r="V94" s="20" t="s">
        <v>123</v>
      </c>
      <c r="W94" s="20" t="s">
        <v>615</v>
      </c>
      <c r="X94" s="20" t="s">
        <v>109</v>
      </c>
      <c r="Y94" s="20" t="s">
        <v>81</v>
      </c>
      <c r="Z94" s="20" t="s">
        <v>110</v>
      </c>
      <c r="AA94" s="21" t="s">
        <v>516</v>
      </c>
      <c r="AB94" s="14" t="s">
        <v>517</v>
      </c>
      <c r="AC94" s="10" t="s">
        <v>518</v>
      </c>
    </row>
    <row r="95" spans="1:29" ht="48" customHeight="1" x14ac:dyDescent="0.3">
      <c r="A95" s="27">
        <v>93</v>
      </c>
      <c r="B95" s="10" t="s">
        <v>305</v>
      </c>
      <c r="C95" s="8" t="s">
        <v>981</v>
      </c>
      <c r="D95" s="8" t="s">
        <v>982</v>
      </c>
      <c r="E95" s="10" t="s">
        <v>983</v>
      </c>
      <c r="F95" s="8">
        <v>2017</v>
      </c>
      <c r="G95" s="9" t="s">
        <v>984</v>
      </c>
      <c r="H95" s="9" t="s">
        <v>985</v>
      </c>
      <c r="I95" s="15">
        <f>46/66</f>
        <v>0.69696969696969702</v>
      </c>
      <c r="J95" s="20" t="s">
        <v>986</v>
      </c>
      <c r="K95" s="20" t="s">
        <v>987</v>
      </c>
      <c r="L95" s="20" t="s">
        <v>70</v>
      </c>
      <c r="M95" s="20" t="s">
        <v>161</v>
      </c>
      <c r="N95" s="20" t="s">
        <v>73</v>
      </c>
      <c r="O95" s="20" t="s">
        <v>162</v>
      </c>
      <c r="P95" s="20" t="s">
        <v>214</v>
      </c>
      <c r="Q95" s="20" t="s">
        <v>947</v>
      </c>
      <c r="R95" s="20" t="s">
        <v>90</v>
      </c>
      <c r="S95" s="20" t="s">
        <v>77</v>
      </c>
      <c r="T95" s="20" t="s">
        <v>193</v>
      </c>
      <c r="U95" s="20" t="s">
        <v>107</v>
      </c>
      <c r="V95" s="20" t="s">
        <v>123</v>
      </c>
      <c r="W95" s="20" t="s">
        <v>164</v>
      </c>
      <c r="X95" s="20" t="s">
        <v>85</v>
      </c>
      <c r="Y95" s="20" t="s">
        <v>81</v>
      </c>
      <c r="Z95" s="20" t="s">
        <v>165</v>
      </c>
      <c r="AA95" s="21" t="s">
        <v>988</v>
      </c>
      <c r="AB95" s="14" t="s">
        <v>989</v>
      </c>
      <c r="AC95" s="10" t="s">
        <v>990</v>
      </c>
    </row>
    <row r="96" spans="1:29" ht="48" customHeight="1" x14ac:dyDescent="0.3">
      <c r="A96" s="27">
        <v>94</v>
      </c>
      <c r="B96" s="10" t="s">
        <v>305</v>
      </c>
      <c r="C96" s="8" t="s">
        <v>896</v>
      </c>
      <c r="D96" s="8" t="s">
        <v>897</v>
      </c>
      <c r="E96" s="10" t="s">
        <v>898</v>
      </c>
      <c r="F96" s="8">
        <v>2017</v>
      </c>
      <c r="G96" s="9" t="s">
        <v>899</v>
      </c>
      <c r="H96" s="28" t="s">
        <v>991</v>
      </c>
      <c r="I96" s="15">
        <f>46/65</f>
        <v>0.70769230769230773</v>
      </c>
      <c r="J96" s="20" t="s">
        <v>992</v>
      </c>
      <c r="K96" s="20" t="s">
        <v>902</v>
      </c>
      <c r="L96" s="20" t="s">
        <v>70</v>
      </c>
      <c r="M96" s="20" t="s">
        <v>153</v>
      </c>
      <c r="N96" s="20" t="s">
        <v>73</v>
      </c>
      <c r="O96" s="20" t="s">
        <v>249</v>
      </c>
      <c r="P96" s="20" t="s">
        <v>70</v>
      </c>
      <c r="Q96" s="20" t="s">
        <v>993</v>
      </c>
      <c r="R96" s="20" t="s">
        <v>90</v>
      </c>
      <c r="S96" s="20" t="s">
        <v>77</v>
      </c>
      <c r="T96" s="20" t="s">
        <v>193</v>
      </c>
      <c r="U96" s="20" t="s">
        <v>107</v>
      </c>
      <c r="V96" s="20" t="s">
        <v>123</v>
      </c>
      <c r="W96" s="20" t="s">
        <v>124</v>
      </c>
      <c r="X96" s="20" t="s">
        <v>109</v>
      </c>
      <c r="Y96" s="20" t="s">
        <v>81</v>
      </c>
      <c r="Z96" s="20" t="s">
        <v>125</v>
      </c>
      <c r="AA96" s="21" t="s">
        <v>994</v>
      </c>
      <c r="AB96" s="14" t="s">
        <v>995</v>
      </c>
      <c r="AC96" s="10" t="s">
        <v>996</v>
      </c>
    </row>
    <row r="97" spans="1:29" ht="48" customHeight="1" x14ac:dyDescent="0.3">
      <c r="A97" s="27">
        <v>95</v>
      </c>
      <c r="B97" s="10" t="s">
        <v>305</v>
      </c>
      <c r="C97" s="8" t="s">
        <v>886</v>
      </c>
      <c r="D97" s="8" t="s">
        <v>997</v>
      </c>
      <c r="E97" s="10" t="s">
        <v>888</v>
      </c>
      <c r="F97" s="8">
        <v>2017</v>
      </c>
      <c r="G97" s="9" t="s">
        <v>889</v>
      </c>
      <c r="H97" s="9" t="s">
        <v>998</v>
      </c>
      <c r="I97" s="15">
        <f>47/68</f>
        <v>0.69117647058823528</v>
      </c>
      <c r="J97" s="20" t="s">
        <v>999</v>
      </c>
      <c r="K97" s="20" t="s">
        <v>892</v>
      </c>
      <c r="L97" s="20" t="s">
        <v>70</v>
      </c>
      <c r="M97" s="20" t="s">
        <v>153</v>
      </c>
      <c r="N97" s="20" t="s">
        <v>73</v>
      </c>
      <c r="O97" s="20" t="s">
        <v>249</v>
      </c>
      <c r="P97" s="20" t="s">
        <v>70</v>
      </c>
      <c r="Q97" s="20" t="s">
        <v>192</v>
      </c>
      <c r="R97" s="20" t="s">
        <v>90</v>
      </c>
      <c r="S97" s="20" t="s">
        <v>77</v>
      </c>
      <c r="T97" s="20" t="s">
        <v>193</v>
      </c>
      <c r="U97" s="20" t="s">
        <v>107</v>
      </c>
      <c r="V97" s="20" t="s">
        <v>123</v>
      </c>
      <c r="W97" s="20" t="s">
        <v>124</v>
      </c>
      <c r="X97" s="20" t="s">
        <v>109</v>
      </c>
      <c r="Y97" s="20" t="s">
        <v>81</v>
      </c>
      <c r="Z97" s="20" t="s">
        <v>125</v>
      </c>
      <c r="AA97" s="21" t="s">
        <v>1000</v>
      </c>
      <c r="AB97" s="14" t="s">
        <v>1001</v>
      </c>
      <c r="AC97" s="10" t="s">
        <v>1002</v>
      </c>
    </row>
    <row r="98" spans="1:29" ht="48" customHeight="1" x14ac:dyDescent="0.3">
      <c r="A98" s="27">
        <v>96</v>
      </c>
      <c r="B98" s="10" t="s">
        <v>305</v>
      </c>
      <c r="C98" s="8" t="s">
        <v>878</v>
      </c>
      <c r="D98" s="8" t="s">
        <v>879</v>
      </c>
      <c r="E98" s="10" t="s">
        <v>880</v>
      </c>
      <c r="F98" s="8">
        <v>2017</v>
      </c>
      <c r="G98" s="9" t="s">
        <v>881</v>
      </c>
      <c r="H98" s="9" t="s">
        <v>1003</v>
      </c>
      <c r="I98" s="15">
        <f>45/65</f>
        <v>0.69230769230769229</v>
      </c>
      <c r="J98" s="36" t="s">
        <v>883</v>
      </c>
      <c r="K98" s="20" t="s">
        <v>884</v>
      </c>
      <c r="L98" s="20" t="s">
        <v>70</v>
      </c>
      <c r="M98" s="20" t="s">
        <v>820</v>
      </c>
      <c r="N98" s="20" t="s">
        <v>73</v>
      </c>
      <c r="O98" s="20" t="s">
        <v>249</v>
      </c>
      <c r="P98" s="20" t="s">
        <v>70</v>
      </c>
      <c r="Q98" s="20" t="s">
        <v>191</v>
      </c>
      <c r="R98" s="20" t="s">
        <v>90</v>
      </c>
      <c r="S98" s="20" t="s">
        <v>77</v>
      </c>
      <c r="T98" s="20" t="s">
        <v>193</v>
      </c>
      <c r="U98" s="20" t="s">
        <v>107</v>
      </c>
      <c r="V98" s="20" t="s">
        <v>123</v>
      </c>
      <c r="W98" s="20" t="s">
        <v>124</v>
      </c>
      <c r="X98" s="20" t="s">
        <v>109</v>
      </c>
      <c r="Y98" s="20" t="s">
        <v>81</v>
      </c>
      <c r="Z98" s="20" t="s">
        <v>125</v>
      </c>
      <c r="AA98" s="21" t="s">
        <v>1004</v>
      </c>
      <c r="AB98" s="14" t="s">
        <v>1005</v>
      </c>
      <c r="AC98" s="10" t="s">
        <v>1006</v>
      </c>
    </row>
    <row r="99" spans="1:29" ht="48" customHeight="1" x14ac:dyDescent="0.3">
      <c r="A99" s="27">
        <v>97</v>
      </c>
      <c r="B99" s="10" t="s">
        <v>8</v>
      </c>
      <c r="C99" s="8" t="s">
        <v>870</v>
      </c>
      <c r="D99" s="8" t="s">
        <v>869</v>
      </c>
      <c r="E99" s="10" t="s">
        <v>1007</v>
      </c>
      <c r="F99" s="8">
        <v>2017</v>
      </c>
      <c r="G99" s="9" t="s">
        <v>1008</v>
      </c>
      <c r="H99" s="9" t="s">
        <v>1009</v>
      </c>
      <c r="I99" s="15">
        <f>45/66</f>
        <v>0.68181818181818177</v>
      </c>
      <c r="J99" s="20" t="s">
        <v>1010</v>
      </c>
      <c r="K99" s="20" t="s">
        <v>1011</v>
      </c>
      <c r="L99" s="20" t="s">
        <v>70</v>
      </c>
      <c r="M99" s="20" t="s">
        <v>877</v>
      </c>
      <c r="N99" s="20" t="s">
        <v>118</v>
      </c>
      <c r="O99" s="20" t="s">
        <v>876</v>
      </c>
      <c r="P99" s="20" t="s">
        <v>70</v>
      </c>
      <c r="Q99" s="20" t="s">
        <v>877</v>
      </c>
      <c r="R99" s="20" t="s">
        <v>90</v>
      </c>
      <c r="S99" s="20" t="s">
        <v>77</v>
      </c>
      <c r="T99" s="20" t="s">
        <v>193</v>
      </c>
      <c r="U99" s="20" t="s">
        <v>107</v>
      </c>
      <c r="V99" s="20" t="s">
        <v>123</v>
      </c>
      <c r="W99" s="20" t="s">
        <v>615</v>
      </c>
      <c r="X99" s="20" t="s">
        <v>109</v>
      </c>
      <c r="Y99" s="20" t="s">
        <v>81</v>
      </c>
      <c r="Z99" s="20" t="s">
        <v>82</v>
      </c>
      <c r="AA99" s="21" t="s">
        <v>1012</v>
      </c>
      <c r="AB99" s="14" t="s">
        <v>1013</v>
      </c>
      <c r="AC99" s="10" t="s">
        <v>1014</v>
      </c>
    </row>
    <row r="100" spans="1:29" ht="48" customHeight="1" x14ac:dyDescent="0.3">
      <c r="A100" s="27">
        <v>98</v>
      </c>
      <c r="B100" s="10" t="s">
        <v>8</v>
      </c>
      <c r="C100" s="8" t="s">
        <v>1015</v>
      </c>
      <c r="D100" s="8" t="s">
        <v>1016</v>
      </c>
      <c r="E100" s="10" t="s">
        <v>1017</v>
      </c>
      <c r="F100" s="8">
        <v>2026</v>
      </c>
      <c r="G100" s="9" t="s">
        <v>1018</v>
      </c>
      <c r="H100" s="9" t="s">
        <v>1019</v>
      </c>
      <c r="I100" s="15">
        <f>35/61</f>
        <v>0.57377049180327866</v>
      </c>
      <c r="J100" s="20" t="s">
        <v>1020</v>
      </c>
      <c r="K100" s="20" t="s">
        <v>1021</v>
      </c>
      <c r="L100" s="20" t="s">
        <v>70</v>
      </c>
      <c r="M100" s="20" t="s">
        <v>153</v>
      </c>
      <c r="N100" s="20" t="s">
        <v>1022</v>
      </c>
      <c r="O100" s="20" t="s">
        <v>249</v>
      </c>
      <c r="P100" s="20" t="s">
        <v>70</v>
      </c>
      <c r="Q100" s="20" t="s">
        <v>1023</v>
      </c>
      <c r="R100" s="20" t="s">
        <v>90</v>
      </c>
      <c r="S100" s="20" t="s">
        <v>77</v>
      </c>
      <c r="T100" s="20" t="s">
        <v>193</v>
      </c>
      <c r="U100" s="20" t="s">
        <v>107</v>
      </c>
      <c r="V100" s="20" t="s">
        <v>123</v>
      </c>
      <c r="W100" s="20" t="s">
        <v>388</v>
      </c>
      <c r="X100" s="20" t="s">
        <v>109</v>
      </c>
      <c r="Y100" s="20" t="s">
        <v>81</v>
      </c>
      <c r="Z100" s="20" t="s">
        <v>125</v>
      </c>
      <c r="AA100" s="21" t="s">
        <v>810</v>
      </c>
      <c r="AB100" s="14" t="s">
        <v>811</v>
      </c>
      <c r="AC100" s="10" t="s">
        <v>812</v>
      </c>
    </row>
    <row r="101" spans="1:29" ht="48" customHeight="1" x14ac:dyDescent="0.3">
      <c r="A101" s="27">
        <v>99</v>
      </c>
      <c r="B101" s="10" t="s">
        <v>8</v>
      </c>
      <c r="C101" s="8" t="s">
        <v>1024</v>
      </c>
      <c r="D101" s="8" t="s">
        <v>1025</v>
      </c>
      <c r="E101" s="10" t="s">
        <v>1026</v>
      </c>
      <c r="F101" s="8">
        <v>2026</v>
      </c>
      <c r="G101" s="9" t="s">
        <v>1027</v>
      </c>
      <c r="H101" s="9" t="s">
        <v>1028</v>
      </c>
      <c r="I101" s="15">
        <f>29/62</f>
        <v>0.46774193548387094</v>
      </c>
      <c r="J101" s="36" t="s">
        <v>1029</v>
      </c>
      <c r="K101" s="20" t="s">
        <v>1030</v>
      </c>
      <c r="L101" s="20" t="s">
        <v>70</v>
      </c>
      <c r="M101" s="20" t="s">
        <v>1031</v>
      </c>
      <c r="N101" s="20" t="s">
        <v>118</v>
      </c>
      <c r="O101" s="20" t="s">
        <v>876</v>
      </c>
      <c r="P101" s="20" t="s">
        <v>70</v>
      </c>
      <c r="Q101" s="20" t="s">
        <v>1032</v>
      </c>
      <c r="R101" s="20" t="s">
        <v>90</v>
      </c>
      <c r="S101" s="20" t="s">
        <v>77</v>
      </c>
      <c r="T101" s="20" t="s">
        <v>193</v>
      </c>
      <c r="U101" s="20" t="s">
        <v>107</v>
      </c>
      <c r="V101" s="20" t="s">
        <v>123</v>
      </c>
      <c r="W101" s="20" t="s">
        <v>615</v>
      </c>
      <c r="X101" s="20" t="s">
        <v>109</v>
      </c>
      <c r="Y101" s="20" t="s">
        <v>81</v>
      </c>
      <c r="Z101" s="20" t="s">
        <v>1033</v>
      </c>
      <c r="AA101" s="21" t="s">
        <v>904</v>
      </c>
      <c r="AB101" s="14" t="s">
        <v>905</v>
      </c>
      <c r="AC101" s="10" t="s">
        <v>906</v>
      </c>
    </row>
    <row r="102" spans="1:29" ht="48" customHeight="1" x14ac:dyDescent="0.3">
      <c r="A102" s="27">
        <v>100</v>
      </c>
      <c r="B102" s="10" t="s">
        <v>8</v>
      </c>
      <c r="C102" s="8" t="s">
        <v>1034</v>
      </c>
      <c r="D102" s="32" t="s">
        <v>1035</v>
      </c>
      <c r="E102" s="10" t="s">
        <v>1036</v>
      </c>
      <c r="F102" s="8">
        <v>2026</v>
      </c>
      <c r="G102" s="9" t="s">
        <v>1037</v>
      </c>
      <c r="H102" s="9" t="s">
        <v>1038</v>
      </c>
      <c r="I102" s="15">
        <f>20/61</f>
        <v>0.32786885245901637</v>
      </c>
      <c r="J102" s="20" t="s">
        <v>1039</v>
      </c>
      <c r="K102" s="20" t="s">
        <v>1040</v>
      </c>
      <c r="L102" s="20" t="s">
        <v>70</v>
      </c>
      <c r="M102" s="20" t="s">
        <v>170</v>
      </c>
      <c r="N102" s="20" t="s">
        <v>102</v>
      </c>
      <c r="O102" s="20" t="s">
        <v>1041</v>
      </c>
      <c r="P102" s="20" t="s">
        <v>70</v>
      </c>
      <c r="Q102" s="20" t="s">
        <v>1042</v>
      </c>
      <c r="R102" s="20" t="s">
        <v>173</v>
      </c>
      <c r="S102" s="20" t="s">
        <v>77</v>
      </c>
      <c r="T102" s="20" t="s">
        <v>193</v>
      </c>
      <c r="U102" s="20" t="s">
        <v>107</v>
      </c>
      <c r="V102" s="20" t="s">
        <v>123</v>
      </c>
      <c r="W102" s="20" t="s">
        <v>174</v>
      </c>
      <c r="X102" s="20" t="s">
        <v>109</v>
      </c>
      <c r="Y102" s="20" t="s">
        <v>81</v>
      </c>
      <c r="Z102" s="20" t="s">
        <v>1043</v>
      </c>
      <c r="AA102" s="21" t="s">
        <v>904</v>
      </c>
      <c r="AB102" s="14" t="s">
        <v>905</v>
      </c>
      <c r="AC102" s="10" t="s">
        <v>1044</v>
      </c>
    </row>
    <row r="103" spans="1:29" ht="48" customHeight="1" x14ac:dyDescent="0.3">
      <c r="A103" s="2"/>
      <c r="B103" s="3"/>
      <c r="C103" s="4"/>
      <c r="D103" s="4"/>
      <c r="E103" s="10"/>
      <c r="F103" s="8"/>
      <c r="G103" s="9"/>
      <c r="H103" s="11"/>
      <c r="I103" s="15"/>
      <c r="J103" s="20"/>
      <c r="K103" s="20"/>
      <c r="L103" s="20"/>
      <c r="M103" s="20"/>
      <c r="N103" s="20"/>
      <c r="O103" s="20"/>
      <c r="P103" s="20"/>
      <c r="Q103" s="20"/>
      <c r="R103" s="20"/>
      <c r="S103" s="20"/>
      <c r="T103" s="20"/>
      <c r="U103" s="20"/>
      <c r="V103" s="20"/>
      <c r="W103" s="20"/>
      <c r="X103" s="20"/>
      <c r="Y103" s="20"/>
      <c r="Z103" s="20"/>
      <c r="AA103" s="21"/>
      <c r="AB103" s="21"/>
      <c r="AC103" s="10"/>
    </row>
    <row r="104" spans="1:29" ht="48" customHeight="1" x14ac:dyDescent="0.3">
      <c r="A104" s="2"/>
      <c r="B104" s="5"/>
      <c r="C104" s="6"/>
      <c r="D104" s="6"/>
      <c r="E104" s="10"/>
      <c r="F104" s="8"/>
      <c r="G104" s="9"/>
      <c r="H104" s="11"/>
      <c r="I104" s="15"/>
      <c r="J104" s="20"/>
      <c r="K104" s="20"/>
      <c r="L104" s="20"/>
      <c r="M104" s="20"/>
      <c r="N104" s="20"/>
      <c r="O104" s="20"/>
      <c r="P104" s="20"/>
      <c r="Q104" s="20"/>
      <c r="R104" s="20"/>
      <c r="S104" s="20"/>
      <c r="T104" s="20"/>
      <c r="U104" s="20"/>
      <c r="V104" s="20"/>
      <c r="W104" s="20"/>
      <c r="X104" s="20"/>
      <c r="Y104" s="20"/>
      <c r="Z104" s="20"/>
      <c r="AA104" s="21"/>
      <c r="AB104" s="21"/>
      <c r="AC104" s="10"/>
    </row>
    <row r="105" spans="1:29" ht="48" customHeight="1" x14ac:dyDescent="0.3">
      <c r="A105" s="2"/>
      <c r="B105" s="3"/>
      <c r="C105" s="4"/>
      <c r="D105" s="4"/>
      <c r="E105" s="10"/>
      <c r="F105" s="8"/>
      <c r="G105" s="9"/>
      <c r="H105" s="11"/>
      <c r="I105" s="15"/>
      <c r="J105" s="20"/>
      <c r="K105" s="20"/>
      <c r="L105" s="20"/>
      <c r="M105" s="20"/>
      <c r="N105" s="20"/>
      <c r="O105" s="20"/>
      <c r="P105" s="20"/>
      <c r="Q105" s="20"/>
      <c r="R105" s="20"/>
      <c r="S105" s="20"/>
      <c r="T105" s="20"/>
      <c r="U105" s="20"/>
      <c r="V105" s="20"/>
      <c r="W105" s="20"/>
      <c r="X105" s="20"/>
      <c r="Y105" s="20"/>
      <c r="Z105" s="20"/>
      <c r="AA105" s="21"/>
      <c r="AB105" s="21"/>
      <c r="AC105" s="10"/>
    </row>
    <row r="106" spans="1:29" ht="48" customHeight="1" x14ac:dyDescent="0.3">
      <c r="A106" s="2"/>
      <c r="B106" s="5"/>
      <c r="C106" s="6"/>
      <c r="D106" s="6"/>
      <c r="E106" s="10"/>
      <c r="F106" s="8"/>
      <c r="G106" s="9"/>
      <c r="H106" s="11"/>
      <c r="I106" s="15"/>
      <c r="J106" s="20"/>
      <c r="K106" s="20"/>
      <c r="L106" s="20"/>
      <c r="M106" s="20"/>
      <c r="N106" s="20"/>
      <c r="O106" s="20"/>
      <c r="P106" s="20"/>
      <c r="Q106" s="20"/>
      <c r="R106" s="20"/>
      <c r="S106" s="20"/>
      <c r="T106" s="20"/>
      <c r="U106" s="20"/>
      <c r="V106" s="20"/>
      <c r="W106" s="20"/>
      <c r="X106" s="20"/>
      <c r="Y106" s="20"/>
      <c r="Z106" s="20"/>
      <c r="AA106" s="21"/>
      <c r="AB106" s="21"/>
      <c r="AC106" s="10"/>
    </row>
    <row r="107" spans="1:29" ht="48" customHeight="1" x14ac:dyDescent="0.3">
      <c r="A107" s="2"/>
      <c r="B107" s="3"/>
      <c r="C107" s="4"/>
      <c r="D107" s="4"/>
      <c r="E107" s="10"/>
      <c r="F107" s="8"/>
      <c r="G107" s="9"/>
      <c r="H107" s="11"/>
      <c r="I107" s="15"/>
      <c r="J107" s="20"/>
      <c r="K107" s="20"/>
      <c r="L107" s="20"/>
      <c r="M107" s="20"/>
      <c r="N107" s="20"/>
      <c r="O107" s="20"/>
      <c r="P107" s="20"/>
      <c r="Q107" s="20"/>
      <c r="R107" s="20"/>
      <c r="S107" s="20"/>
      <c r="T107" s="20"/>
      <c r="U107" s="20"/>
      <c r="V107" s="20"/>
      <c r="W107" s="20"/>
      <c r="X107" s="20"/>
      <c r="Y107" s="20"/>
      <c r="Z107" s="20"/>
      <c r="AA107" s="21"/>
      <c r="AB107" s="21"/>
      <c r="AC107" s="10"/>
    </row>
    <row r="108" spans="1:29" ht="48" customHeight="1" x14ac:dyDescent="0.3">
      <c r="A108" s="2"/>
      <c r="B108" s="5"/>
      <c r="C108" s="6"/>
      <c r="D108" s="6"/>
      <c r="E108" s="10"/>
      <c r="F108" s="8"/>
      <c r="G108" s="9"/>
      <c r="H108" s="11"/>
      <c r="I108" s="15"/>
      <c r="J108" s="20"/>
      <c r="K108" s="20"/>
      <c r="L108" s="20"/>
      <c r="M108" s="20"/>
      <c r="N108" s="20"/>
      <c r="O108" s="20"/>
      <c r="P108" s="20"/>
      <c r="Q108" s="20"/>
      <c r="R108" s="20"/>
      <c r="S108" s="20"/>
      <c r="T108" s="20"/>
      <c r="U108" s="20"/>
      <c r="V108" s="20"/>
      <c r="W108" s="20"/>
      <c r="X108" s="20"/>
      <c r="Y108" s="20"/>
      <c r="Z108" s="20"/>
      <c r="AA108" s="21"/>
      <c r="AB108" s="21"/>
      <c r="AC108" s="10"/>
    </row>
    <row r="109" spans="1:29" ht="48" customHeight="1" x14ac:dyDescent="0.3">
      <c r="A109" s="2"/>
      <c r="B109" s="3"/>
      <c r="C109" s="4"/>
      <c r="D109" s="4"/>
      <c r="E109" s="10"/>
      <c r="F109" s="8"/>
      <c r="G109" s="9"/>
      <c r="H109" s="11"/>
      <c r="I109" s="15"/>
      <c r="J109" s="20"/>
      <c r="K109" s="20"/>
      <c r="L109" s="20"/>
      <c r="M109" s="20"/>
      <c r="N109" s="20"/>
      <c r="O109" s="20"/>
      <c r="P109" s="20"/>
      <c r="Q109" s="20"/>
      <c r="R109" s="20"/>
      <c r="S109" s="20"/>
      <c r="T109" s="20"/>
      <c r="U109" s="20"/>
      <c r="V109" s="20"/>
      <c r="W109" s="20"/>
      <c r="X109" s="20"/>
      <c r="Y109" s="20"/>
      <c r="Z109" s="20"/>
      <c r="AA109" s="21"/>
      <c r="AB109" s="21"/>
      <c r="AC109" s="10"/>
    </row>
    <row r="110" spans="1:29" ht="48" customHeight="1" x14ac:dyDescent="0.3">
      <c r="A110" s="2"/>
      <c r="B110" s="5"/>
      <c r="C110" s="6"/>
      <c r="D110" s="6"/>
      <c r="E110" s="10"/>
      <c r="F110" s="8"/>
      <c r="G110" s="9"/>
      <c r="H110" s="11"/>
      <c r="I110" s="15"/>
      <c r="J110" s="20"/>
      <c r="K110" s="20"/>
      <c r="L110" s="20"/>
      <c r="M110" s="20"/>
      <c r="N110" s="20"/>
      <c r="O110" s="20"/>
      <c r="P110" s="20"/>
      <c r="Q110" s="20"/>
      <c r="R110" s="20"/>
      <c r="S110" s="20"/>
      <c r="T110" s="20"/>
      <c r="U110" s="20"/>
      <c r="V110" s="20"/>
      <c r="W110" s="20"/>
      <c r="X110" s="20"/>
      <c r="Y110" s="20"/>
      <c r="Z110" s="20"/>
      <c r="AA110" s="21"/>
      <c r="AB110" s="21"/>
      <c r="AC110" s="10"/>
    </row>
    <row r="111" spans="1:29" ht="48" customHeight="1" x14ac:dyDescent="0.3">
      <c r="A111" s="2"/>
      <c r="B111" s="3"/>
      <c r="C111" s="4"/>
      <c r="D111" s="4"/>
      <c r="E111" s="10"/>
      <c r="F111" s="8"/>
      <c r="G111" s="9"/>
      <c r="H111" s="11"/>
      <c r="I111" s="15"/>
      <c r="J111" s="20"/>
      <c r="K111" s="20"/>
      <c r="L111" s="20"/>
      <c r="M111" s="20"/>
      <c r="N111" s="20"/>
      <c r="O111" s="20"/>
      <c r="P111" s="20"/>
      <c r="Q111" s="20"/>
      <c r="R111" s="20"/>
      <c r="S111" s="20"/>
      <c r="T111" s="20"/>
      <c r="U111" s="20"/>
      <c r="V111" s="20"/>
      <c r="W111" s="20"/>
      <c r="X111" s="20"/>
      <c r="Y111" s="20"/>
      <c r="Z111" s="20"/>
      <c r="AA111" s="21"/>
      <c r="AB111" s="21"/>
      <c r="AC111" s="10"/>
    </row>
    <row r="112" spans="1:29" ht="48" customHeight="1" x14ac:dyDescent="0.3">
      <c r="A112" s="2"/>
      <c r="B112" s="5"/>
      <c r="C112" s="6"/>
      <c r="D112" s="6"/>
      <c r="E112" s="10"/>
      <c r="F112" s="8"/>
      <c r="G112" s="9"/>
      <c r="H112" s="11"/>
      <c r="I112" s="15"/>
      <c r="J112" s="20"/>
      <c r="K112" s="20"/>
      <c r="L112" s="20"/>
      <c r="M112" s="20"/>
      <c r="N112" s="20"/>
      <c r="O112" s="20"/>
      <c r="P112" s="20"/>
      <c r="Q112" s="20"/>
      <c r="R112" s="20"/>
      <c r="S112" s="20"/>
      <c r="T112" s="20"/>
      <c r="U112" s="20"/>
      <c r="V112" s="20"/>
      <c r="W112" s="20"/>
      <c r="X112" s="20"/>
      <c r="Y112" s="20"/>
      <c r="Z112" s="20"/>
      <c r="AA112" s="21"/>
      <c r="AB112" s="21"/>
      <c r="AC112" s="10"/>
    </row>
    <row r="113" spans="1:29" ht="48" customHeight="1" x14ac:dyDescent="0.3">
      <c r="A113" s="2"/>
      <c r="B113" s="3"/>
      <c r="C113" s="4"/>
      <c r="D113" s="4"/>
      <c r="E113" s="10"/>
      <c r="F113" s="8"/>
      <c r="G113" s="9"/>
      <c r="H113" s="11"/>
      <c r="I113" s="15"/>
      <c r="J113" s="20"/>
      <c r="K113" s="20"/>
      <c r="L113" s="20"/>
      <c r="M113" s="20"/>
      <c r="N113" s="20"/>
      <c r="O113" s="20"/>
      <c r="P113" s="20"/>
      <c r="Q113" s="20"/>
      <c r="R113" s="20"/>
      <c r="S113" s="20"/>
      <c r="T113" s="20"/>
      <c r="U113" s="20"/>
      <c r="V113" s="20"/>
      <c r="W113" s="20"/>
      <c r="X113" s="20"/>
      <c r="Y113" s="20"/>
      <c r="Z113" s="20"/>
      <c r="AA113" s="21"/>
      <c r="AB113" s="21"/>
      <c r="AC113" s="10"/>
    </row>
    <row r="114" spans="1:29" ht="48" customHeight="1" x14ac:dyDescent="0.3">
      <c r="A114" s="2"/>
      <c r="B114" s="5"/>
      <c r="C114" s="6"/>
      <c r="D114" s="6"/>
      <c r="E114" s="10"/>
      <c r="F114" s="8"/>
      <c r="G114" s="9"/>
      <c r="H114" s="11"/>
      <c r="I114" s="15"/>
      <c r="J114" s="20"/>
      <c r="K114" s="20"/>
      <c r="L114" s="20"/>
      <c r="M114" s="20"/>
      <c r="N114" s="20"/>
      <c r="O114" s="20"/>
      <c r="P114" s="20"/>
      <c r="Q114" s="20"/>
      <c r="R114" s="20"/>
      <c r="S114" s="20"/>
      <c r="T114" s="20"/>
      <c r="U114" s="20"/>
      <c r="V114" s="20"/>
      <c r="W114" s="20"/>
      <c r="X114" s="20"/>
      <c r="Y114" s="20"/>
      <c r="Z114" s="20"/>
      <c r="AA114" s="21"/>
      <c r="AB114" s="21"/>
      <c r="AC114" s="10"/>
    </row>
    <row r="115" spans="1:29" ht="48" customHeight="1" x14ac:dyDescent="0.3">
      <c r="A115" s="2"/>
      <c r="B115" s="3"/>
      <c r="C115" s="4"/>
      <c r="D115" s="4"/>
      <c r="E115" s="10"/>
      <c r="F115" s="8"/>
      <c r="G115" s="9"/>
      <c r="H115" s="11"/>
      <c r="I115" s="15"/>
      <c r="J115" s="20"/>
      <c r="K115" s="20"/>
      <c r="L115" s="20"/>
      <c r="M115" s="20"/>
      <c r="N115" s="20"/>
      <c r="O115" s="20"/>
      <c r="P115" s="20"/>
      <c r="Q115" s="20"/>
      <c r="R115" s="20"/>
      <c r="S115" s="20"/>
      <c r="T115" s="20"/>
      <c r="U115" s="20"/>
      <c r="V115" s="20"/>
      <c r="W115" s="20"/>
      <c r="X115" s="20"/>
      <c r="Y115" s="20"/>
      <c r="Z115" s="20"/>
      <c r="AA115" s="21"/>
      <c r="AB115" s="21"/>
      <c r="AC115" s="10"/>
    </row>
    <row r="116" spans="1:29" ht="48" customHeight="1" x14ac:dyDescent="0.3">
      <c r="A116" s="2"/>
      <c r="B116" s="5"/>
      <c r="C116" s="6"/>
      <c r="D116" s="6"/>
      <c r="E116" s="10"/>
      <c r="F116" s="8"/>
      <c r="G116" s="9"/>
      <c r="H116" s="11"/>
      <c r="I116" s="15"/>
      <c r="J116" s="20"/>
      <c r="K116" s="20"/>
      <c r="L116" s="20"/>
      <c r="M116" s="20"/>
      <c r="N116" s="20"/>
      <c r="O116" s="20"/>
      <c r="P116" s="20"/>
      <c r="Q116" s="20"/>
      <c r="R116" s="20"/>
      <c r="S116" s="20"/>
      <c r="T116" s="20"/>
      <c r="U116" s="20"/>
      <c r="V116" s="20"/>
      <c r="W116" s="20"/>
      <c r="X116" s="20"/>
      <c r="Y116" s="20"/>
      <c r="Z116" s="20"/>
      <c r="AA116" s="21"/>
      <c r="AB116" s="21"/>
      <c r="AC116" s="10"/>
    </row>
    <row r="117" spans="1:29" ht="48" customHeight="1" x14ac:dyDescent="0.3">
      <c r="A117" s="2"/>
      <c r="B117" s="3"/>
      <c r="C117" s="4"/>
      <c r="D117" s="4"/>
      <c r="E117" s="10"/>
      <c r="F117" s="8"/>
      <c r="G117" s="9"/>
      <c r="H117" s="11"/>
      <c r="I117" s="15"/>
      <c r="J117" s="20"/>
      <c r="K117" s="20"/>
      <c r="L117" s="20"/>
      <c r="M117" s="20"/>
      <c r="N117" s="20"/>
      <c r="O117" s="20"/>
      <c r="P117" s="20"/>
      <c r="Q117" s="20"/>
      <c r="R117" s="20"/>
      <c r="S117" s="20"/>
      <c r="T117" s="20"/>
      <c r="U117" s="20"/>
      <c r="V117" s="20"/>
      <c r="W117" s="20"/>
      <c r="X117" s="20"/>
      <c r="Y117" s="20"/>
      <c r="Z117" s="20"/>
      <c r="AA117" s="21"/>
      <c r="AB117" s="21"/>
      <c r="AC117" s="10"/>
    </row>
    <row r="118" spans="1:29" ht="48" customHeight="1" x14ac:dyDescent="0.3">
      <c r="A118" s="2"/>
      <c r="B118" s="5"/>
      <c r="C118" s="6"/>
      <c r="D118" s="6"/>
      <c r="E118" s="10"/>
      <c r="F118" s="8"/>
      <c r="G118" s="9"/>
      <c r="H118" s="11"/>
      <c r="I118" s="15"/>
      <c r="J118" s="20"/>
      <c r="K118" s="20"/>
      <c r="L118" s="20"/>
      <c r="M118" s="20"/>
      <c r="N118" s="20"/>
      <c r="O118" s="20"/>
      <c r="P118" s="20"/>
      <c r="Q118" s="20"/>
      <c r="R118" s="20"/>
      <c r="S118" s="20"/>
      <c r="T118" s="20"/>
      <c r="U118" s="20"/>
      <c r="V118" s="20"/>
      <c r="W118" s="20"/>
      <c r="X118" s="20"/>
      <c r="Y118" s="20"/>
      <c r="Z118" s="20"/>
      <c r="AA118" s="21"/>
      <c r="AB118" s="21"/>
      <c r="AC118" s="10"/>
    </row>
    <row r="119" spans="1:29" ht="48" customHeight="1" x14ac:dyDescent="0.3">
      <c r="A119" s="2"/>
      <c r="B119" s="3"/>
      <c r="C119" s="4"/>
      <c r="D119" s="4"/>
      <c r="E119" s="10"/>
      <c r="F119" s="8"/>
      <c r="G119" s="9"/>
      <c r="H119" s="11"/>
      <c r="I119" s="15"/>
      <c r="J119" s="20"/>
      <c r="K119" s="20"/>
      <c r="L119" s="20"/>
      <c r="M119" s="20"/>
      <c r="N119" s="20"/>
      <c r="O119" s="20"/>
      <c r="P119" s="20"/>
      <c r="Q119" s="20"/>
      <c r="R119" s="20"/>
      <c r="S119" s="20"/>
      <c r="T119" s="20"/>
      <c r="U119" s="20"/>
      <c r="V119" s="20"/>
      <c r="W119" s="20"/>
      <c r="X119" s="20"/>
      <c r="Y119" s="20"/>
      <c r="Z119" s="20"/>
      <c r="AA119" s="21"/>
      <c r="AB119" s="21"/>
      <c r="AC119" s="10"/>
    </row>
    <row r="120" spans="1:29" ht="48" customHeight="1" x14ac:dyDescent="0.3">
      <c r="A120" s="2"/>
      <c r="B120" s="5"/>
      <c r="C120" s="6"/>
      <c r="D120" s="6"/>
      <c r="E120" s="10"/>
      <c r="F120" s="8"/>
      <c r="G120" s="9"/>
      <c r="H120" s="11"/>
      <c r="I120" s="15"/>
      <c r="J120" s="20"/>
      <c r="K120" s="20"/>
      <c r="L120" s="20"/>
      <c r="M120" s="20"/>
      <c r="N120" s="20"/>
      <c r="O120" s="20"/>
      <c r="P120" s="20"/>
      <c r="Q120" s="20"/>
      <c r="R120" s="20"/>
      <c r="S120" s="20"/>
      <c r="T120" s="20"/>
      <c r="U120" s="20"/>
      <c r="V120" s="20"/>
      <c r="W120" s="20"/>
      <c r="X120" s="20"/>
      <c r="Y120" s="20"/>
      <c r="Z120" s="20"/>
      <c r="AA120" s="21"/>
      <c r="AB120" s="21"/>
      <c r="AC120" s="10"/>
    </row>
    <row r="121" spans="1:29" ht="48" customHeight="1" x14ac:dyDescent="0.3">
      <c r="A121" s="2"/>
      <c r="B121" s="3"/>
      <c r="C121" s="4"/>
      <c r="D121" s="4"/>
      <c r="E121" s="10"/>
      <c r="F121" s="8"/>
      <c r="G121" s="9"/>
      <c r="H121" s="11"/>
      <c r="I121" s="15"/>
      <c r="J121" s="20"/>
      <c r="K121" s="20"/>
      <c r="L121" s="20"/>
      <c r="M121" s="20"/>
      <c r="N121" s="20"/>
      <c r="O121" s="20"/>
      <c r="P121" s="20"/>
      <c r="Q121" s="20"/>
      <c r="R121" s="20"/>
      <c r="S121" s="20"/>
      <c r="T121" s="20"/>
      <c r="U121" s="20"/>
      <c r="V121" s="20"/>
      <c r="W121" s="20"/>
      <c r="X121" s="20"/>
      <c r="Y121" s="20"/>
      <c r="Z121" s="20"/>
      <c r="AA121" s="21"/>
      <c r="AB121" s="21"/>
      <c r="AC121" s="10"/>
    </row>
    <row r="122" spans="1:29" ht="48" customHeight="1" x14ac:dyDescent="0.3">
      <c r="A122" s="2"/>
      <c r="B122" s="5"/>
      <c r="C122" s="6"/>
      <c r="D122" s="6"/>
      <c r="E122" s="10"/>
      <c r="F122" s="8"/>
      <c r="G122" s="9"/>
      <c r="H122" s="11"/>
      <c r="I122" s="15"/>
      <c r="J122" s="20"/>
      <c r="K122" s="20"/>
      <c r="L122" s="20"/>
      <c r="M122" s="20"/>
      <c r="N122" s="20"/>
      <c r="O122" s="20"/>
      <c r="P122" s="20"/>
      <c r="Q122" s="20"/>
      <c r="R122" s="20"/>
      <c r="S122" s="20"/>
      <c r="T122" s="20"/>
      <c r="U122" s="20"/>
      <c r="V122" s="20"/>
      <c r="W122" s="20"/>
      <c r="X122" s="20"/>
      <c r="Y122" s="20"/>
      <c r="Z122" s="20"/>
      <c r="AA122" s="21"/>
      <c r="AB122" s="21"/>
      <c r="AC122" s="10"/>
    </row>
  </sheetData>
  <autoFilter ref="A2:AC2" xr:uid="{00000000-0009-0000-0000-000000000000}"/>
  <mergeCells count="2">
    <mergeCell ref="C1:E1"/>
    <mergeCell ref="J1:Z1"/>
  </mergeCells>
  <phoneticPr fontId="9" type="noConversion"/>
  <hyperlinks>
    <hyperlink ref="G3" r:id="rId1" xr:uid="{10500867-7F22-4130-B33E-7AD7F9328634}"/>
    <hyperlink ref="H3" r:id="rId2" xr:uid="{7516BF86-80AD-4CB6-96B6-45220F357361}"/>
    <hyperlink ref="G4" r:id="rId3" xr:uid="{5BD412A9-B7FD-45D5-B9FB-1905C7677852}"/>
    <hyperlink ref="H4" r:id="rId4" xr:uid="{E5D81CF3-1C37-4DD7-8DA2-BA2B65E4E73C}"/>
    <hyperlink ref="H5" r:id="rId5" xr:uid="{2752387D-DEA8-4E91-80E7-FC2291C3D6FA}"/>
    <hyperlink ref="H6" r:id="rId6" xr:uid="{DC0711B1-CB01-4CC7-9BEF-5723B34AC022}"/>
    <hyperlink ref="H7" r:id="rId7" xr:uid="{94C24C4E-625F-4116-AED4-9F632A80D7CE}"/>
    <hyperlink ref="H8" r:id="rId8" xr:uid="{2AC41C99-D21A-4356-85C6-BBCD87CAC89F}"/>
    <hyperlink ref="H9" r:id="rId9" xr:uid="{A9233238-61F1-40C9-9B05-257D3BF9D272}"/>
    <hyperlink ref="H10" r:id="rId10" xr:uid="{AD73BF58-BB96-4524-B057-08B440E14385}"/>
    <hyperlink ref="H11" r:id="rId11" xr:uid="{B586472F-9BD5-4AE5-B71B-2D117E06D8AF}"/>
    <hyperlink ref="H12" r:id="rId12" xr:uid="{42FD0E45-1618-4398-8D07-A2021353DC8C}"/>
    <hyperlink ref="G5" r:id="rId13" xr:uid="{159475C6-693B-4872-98E9-8BAEC09A3591}"/>
    <hyperlink ref="G6" r:id="rId14" xr:uid="{8E77DF4C-39F6-4111-885C-A7D835A6F7F0}"/>
    <hyperlink ref="G7" r:id="rId15" xr:uid="{CFE22393-BB93-48B5-964E-C4A0B6EF900D}"/>
    <hyperlink ref="G8" r:id="rId16" xr:uid="{B97FE016-35C8-44A2-AFAA-A2176F85FADA}"/>
    <hyperlink ref="G9" r:id="rId17" xr:uid="{67939A07-150E-4B59-BBD8-89970D0A6E5D}"/>
    <hyperlink ref="G10" r:id="rId18" xr:uid="{A894E21B-A519-4ED0-8B98-750DF79AADEA}"/>
    <hyperlink ref="G11" r:id="rId19" xr:uid="{E03BF72A-520A-4ABA-8008-4487768A4F4B}"/>
    <hyperlink ref="G12" r:id="rId20" xr:uid="{0FA3747D-6DC8-440B-AB0B-AFB7B10A1F76}"/>
    <hyperlink ref="AB3" r:id="rId21" xr:uid="{8EDE2B13-AB02-42FA-9CE8-56B77B19986B}"/>
    <hyperlink ref="AB4" r:id="rId22" xr:uid="{92D44422-2CEF-47FA-AF9F-1988B4F18344}"/>
    <hyperlink ref="AB5" r:id="rId23" xr:uid="{6F3291F0-8776-4220-BF38-77CBC5D923FE}"/>
    <hyperlink ref="AB6" r:id="rId24" xr:uid="{FB85A028-7F60-432C-AC4A-A64434C8947F}"/>
    <hyperlink ref="AB7" r:id="rId25" xr:uid="{B8FFFEDD-9D88-4B49-BEF3-41EC46843CC3}"/>
    <hyperlink ref="AB8" r:id="rId26" xr:uid="{A2BA08ED-DDA9-4BD0-9F9C-FFC368F9C37B}"/>
    <hyperlink ref="AB9" r:id="rId27" xr:uid="{C078F7E3-9340-481E-A7D9-A8C1A7A4341A}"/>
    <hyperlink ref="AB10" r:id="rId28" xr:uid="{6636E688-A70B-4D57-83CB-7AEFD5DD46AE}"/>
    <hyperlink ref="AB11" r:id="rId29" xr:uid="{15193D87-8577-4D72-B6C2-1F0419A464AB}"/>
    <hyperlink ref="AB12" r:id="rId30" xr:uid="{895525E9-A5D4-4381-B0C5-E235FEFB5769}"/>
    <hyperlink ref="G13" r:id="rId31" xr:uid="{C66EC137-2685-43BB-9D8B-3E5EFBCCB73B}"/>
    <hyperlink ref="G14" r:id="rId32" xr:uid="{47DE6BC3-8C0F-4B98-B5FC-816FD1360F5D}"/>
    <hyperlink ref="G15" r:id="rId33" xr:uid="{37FE515D-855D-4652-AAA0-EF1CBD4F3903}"/>
    <hyperlink ref="H13" r:id="rId34" xr:uid="{7E282D2E-22A5-4FF7-9E80-A0084500FCF4}"/>
    <hyperlink ref="AB13" r:id="rId35" xr:uid="{C0455A2B-B71F-4378-B068-4127F67B325F}"/>
    <hyperlink ref="H14" r:id="rId36" xr:uid="{A48B3A11-386A-44BD-A22E-7C024CD06D8B}"/>
    <hyperlink ref="AB14" r:id="rId37" xr:uid="{B9E44B29-CB8A-4227-B8C2-35092BC5520F}"/>
    <hyperlink ref="H15" r:id="rId38" xr:uid="{B3063466-5E54-4EFD-BBEE-482F7EAFF026}"/>
    <hyperlink ref="G16" r:id="rId39" xr:uid="{DF0C11A9-B2C6-4B4F-9F83-EFFC06CB0BDD}"/>
    <hyperlink ref="H16" r:id="rId40" xr:uid="{7DB34ADD-05D7-49CB-B090-379D628E82BE}"/>
    <hyperlink ref="AB15" r:id="rId41" display="https://www.cve.org/CVERecord?id=CVE-2024-45163" xr:uid="{1E83ABFD-C9D1-43DE-BB4E-1B6B01DF42AD}"/>
    <hyperlink ref="AB16" r:id="rId42" display="https://www.cve.org/CVERecord?id=CVE-2024-45163" xr:uid="{96CADEF7-040E-4490-B907-E1B98CB7FDE3}"/>
    <hyperlink ref="G17" r:id="rId43" xr:uid="{8EE71186-DF64-4225-9AFB-19441C8E4B46}"/>
    <hyperlink ref="H17" r:id="rId44" xr:uid="{FEE576AE-3C43-414F-BD53-84C86EEABCD4}"/>
    <hyperlink ref="G18" r:id="rId45" xr:uid="{C89E26B3-0B0F-4A73-A067-4A9AEFC84A48}"/>
    <hyperlink ref="H18" r:id="rId46" xr:uid="{1132468D-AC73-4A0A-9693-59B9F70581A5}"/>
    <hyperlink ref="AB17" r:id="rId47" xr:uid="{CB729AEB-9B94-4CAA-BEB4-BE0ECFFB3869}"/>
    <hyperlink ref="AB18" r:id="rId48" xr:uid="{EC8D3876-7C1D-4671-A92C-D03F0E2D48D3}"/>
    <hyperlink ref="G19" r:id="rId49" xr:uid="{6095B6F6-1976-48FD-BF51-963F6721614B}"/>
    <hyperlink ref="H19" r:id="rId50" xr:uid="{6B0DCCA4-3B4A-449A-9618-8706CB0962A5}"/>
    <hyperlink ref="AB19" r:id="rId51" xr:uid="{3729C417-9866-4BB4-B0DC-56FDEFB71AFE}"/>
    <hyperlink ref="G20" r:id="rId52" xr:uid="{7D65BE8A-824D-476E-BBAD-01C1C2431241}"/>
    <hyperlink ref="H20" r:id="rId53" xr:uid="{EE91A67A-2A63-4C13-BE9E-C457962D779C}"/>
    <hyperlink ref="AB20" r:id="rId54" xr:uid="{903AFB89-9E4E-461B-8F10-7630C5CEFAA7}"/>
    <hyperlink ref="G21" r:id="rId55" xr:uid="{E228E748-BFD3-47BB-8C28-C9B6B4D5B79C}"/>
    <hyperlink ref="H21" r:id="rId56" xr:uid="{22E9169E-8318-42C3-9D1F-2717EC645BF5}"/>
    <hyperlink ref="AB21" r:id="rId57" xr:uid="{26D9E749-EA5C-454C-A90D-7ADE93B52620}"/>
    <hyperlink ref="G22" r:id="rId58" xr:uid="{698BE3E6-8D0C-4E3A-80A3-B055D971F8B4}"/>
    <hyperlink ref="H22" r:id="rId59" xr:uid="{3793B61E-C884-46AD-91A4-3E162E159D44}"/>
    <hyperlink ref="AB22" r:id="rId60" xr:uid="{07526818-6E0A-4CEC-9394-D1F4EDA052C3}"/>
    <hyperlink ref="G23" r:id="rId61" xr:uid="{FDCD1760-6621-4B36-AD6E-EB4CC8FDE35D}"/>
    <hyperlink ref="H23" r:id="rId62" xr:uid="{5421633C-DE1F-47A9-9CEB-434B8FC73558}"/>
    <hyperlink ref="AB23" r:id="rId63" xr:uid="{1F547D88-269E-4333-961B-AD31CEA16836}"/>
    <hyperlink ref="G24" r:id="rId64" xr:uid="{82BEF178-E608-4680-B3F6-12D74596309E}"/>
    <hyperlink ref="H24" r:id="rId65" xr:uid="{6CD3885B-B002-4D10-9C60-0E4133DDF9D8}"/>
    <hyperlink ref="AB24" r:id="rId66" xr:uid="{8C556C27-5E07-42AD-BD39-99254D78C41C}"/>
    <hyperlink ref="G25" r:id="rId67" xr:uid="{361B9122-2288-48B2-946F-B762AF1BA0E7}"/>
    <hyperlink ref="H25" r:id="rId68" xr:uid="{2E196C9B-D148-46B3-BA5F-984E5DFFEF8D}"/>
    <hyperlink ref="AB25" r:id="rId69" xr:uid="{CCDC812F-1B15-4CB9-97D0-E8EABFE6B31A}"/>
    <hyperlink ref="G26" r:id="rId70" xr:uid="{38AC53E0-B7FB-44AF-8822-AEB83C407FA4}"/>
    <hyperlink ref="H26" r:id="rId71" xr:uid="{55110A56-52C5-4424-ADBF-BBAE3D3DBCB6}"/>
    <hyperlink ref="AB26" r:id="rId72" xr:uid="{7038CE90-3093-4795-AE3C-EC896BAFBDF0}"/>
    <hyperlink ref="G27" r:id="rId73" xr:uid="{E1F7767D-4BD0-4899-B93E-ACFE754DA8A7}"/>
    <hyperlink ref="H27" r:id="rId74" xr:uid="{30053FA8-3A5A-42CF-8148-E4B6AFD3357A}"/>
    <hyperlink ref="AB27" r:id="rId75" xr:uid="{BF7E8FC0-FFD3-42A2-B9DE-265A3003A93A}"/>
    <hyperlink ref="G28" r:id="rId76" xr:uid="{EE8B7B0E-23F5-416D-8693-7FF67155F177}"/>
    <hyperlink ref="H28" r:id="rId77" xr:uid="{BC1DC7CE-E555-4AEF-A431-E8F44FBF1736}"/>
    <hyperlink ref="AB28" r:id="rId78" xr:uid="{53E9F234-2BA9-49A8-8389-09B0D0A0E4FB}"/>
    <hyperlink ref="G29" r:id="rId79" xr:uid="{DB06A8DF-B288-47B8-923F-3DA8FA80374C}"/>
    <hyperlink ref="H29" r:id="rId80" xr:uid="{62487794-E8D6-456A-A5A8-AA38800F3742}"/>
    <hyperlink ref="AB29" r:id="rId81" xr:uid="{F1ED5FBE-D2A7-4F2D-899B-9CE3826B9B35}"/>
    <hyperlink ref="G30" r:id="rId82" xr:uid="{119A4B7F-F1D1-4053-88D0-BDAAF84679EF}"/>
    <hyperlink ref="H30" r:id="rId83" xr:uid="{6688470A-43C7-43F2-929C-10BFB40A2355}"/>
    <hyperlink ref="AB30" r:id="rId84" xr:uid="{E1285DC8-A49F-4C6B-838C-5BEBECF233FC}"/>
    <hyperlink ref="G31" r:id="rId85" xr:uid="{1995C407-D6AA-47E6-A657-EBF4E4723AE9}"/>
    <hyperlink ref="H31" r:id="rId86" xr:uid="{309BA744-EBB7-4254-A206-934157A0F558}"/>
    <hyperlink ref="AB31" r:id="rId87" xr:uid="{1A653384-59CC-4766-BC4A-DDBFA361D69A}"/>
    <hyperlink ref="G32" r:id="rId88" xr:uid="{2654F972-3F91-4FCB-977E-61989805256F}"/>
    <hyperlink ref="H32" r:id="rId89" xr:uid="{EA39C950-C768-4B3E-A36F-204EA428B4F8}"/>
    <hyperlink ref="AB32" r:id="rId90" xr:uid="{41F3D5A1-E333-4814-A10B-BE921F141390}"/>
    <hyperlink ref="G33" r:id="rId91" xr:uid="{09CF39B4-A74E-42BA-AD9C-383BDEEF163A}"/>
    <hyperlink ref="H33" r:id="rId92" xr:uid="{893BCCC5-7615-4B67-BEC7-06777202FACA}"/>
    <hyperlink ref="AB33" r:id="rId93" xr:uid="{CD6AEC80-D29A-4B80-8A0E-DF9E0DBB0B85}"/>
    <hyperlink ref="G34" r:id="rId94" xr:uid="{557EBA48-2F33-4E1A-ADEE-E9C13775D296}"/>
    <hyperlink ref="H34" r:id="rId95" xr:uid="{B736B44E-491D-40FF-9CB7-A8767E38EC49}"/>
    <hyperlink ref="AB34" r:id="rId96" xr:uid="{FEB2FE81-6A13-465A-B7D8-85B7CA245636}"/>
    <hyperlink ref="G35" r:id="rId97" xr:uid="{449730F3-9DD3-4F67-81F4-D97173F529AB}"/>
    <hyperlink ref="H35" r:id="rId98" xr:uid="{AF5AF20A-C04F-4BAE-829C-493DEC6F8E0E}"/>
    <hyperlink ref="AB35" r:id="rId99" xr:uid="{866BED35-2ECE-4457-B250-A10A1FCBEA52}"/>
    <hyperlink ref="G36" r:id="rId100" xr:uid="{97F1DA7B-3CA0-4B2E-8A61-BE31D77763BA}"/>
    <hyperlink ref="H36" r:id="rId101" xr:uid="{9A1AC595-4A96-4044-88EE-768B3C38EA9A}"/>
    <hyperlink ref="AB36" r:id="rId102" xr:uid="{BDAB183D-31E0-4ED1-AC3A-538E9949B8B0}"/>
    <hyperlink ref="G37" r:id="rId103" xr:uid="{0B2D4789-E3AD-4DE3-B857-C28D52FDED5A}"/>
    <hyperlink ref="H37" r:id="rId104" xr:uid="{8025A2E9-16A6-4BD9-A012-B58F8C0B36B7}"/>
    <hyperlink ref="AB37" r:id="rId105" xr:uid="{4B777729-A314-4615-B5C7-C5AF067782AA}"/>
    <hyperlink ref="G38" r:id="rId106" xr:uid="{8775B1C8-D278-4F1C-ADE5-27EEAFCBEF55}"/>
    <hyperlink ref="H38" r:id="rId107" xr:uid="{554212B2-5888-480E-9F20-0081EBCCA11A}"/>
    <hyperlink ref="AB38" r:id="rId108" xr:uid="{A91C16EC-C705-438A-9F3D-03CCCE80B516}"/>
    <hyperlink ref="G39" r:id="rId109" xr:uid="{201F28D7-9BBC-4A70-8AA6-E4286E0F0E29}"/>
    <hyperlink ref="H39" r:id="rId110" xr:uid="{CCCD8557-6681-42F4-997C-24723846A75C}"/>
    <hyperlink ref="AB39" r:id="rId111" xr:uid="{E2EF6930-A0EB-4F8A-97D9-5C600C288B08}"/>
    <hyperlink ref="G40" r:id="rId112" xr:uid="{A8EDD2F7-9C8F-4B6B-9A59-5A325249C3BA}"/>
    <hyperlink ref="H40" r:id="rId113" xr:uid="{3BB39744-6AF4-4E43-929E-B20AF05AEF14}"/>
    <hyperlink ref="AB40" r:id="rId114" xr:uid="{B61A47D3-612F-4596-834A-665EEE6C6D0F}"/>
    <hyperlink ref="G41" r:id="rId115" xr:uid="{B0860E14-1BF1-44E5-9909-B4DF8DACD217}"/>
    <hyperlink ref="H41" r:id="rId116" xr:uid="{AC408199-FAF6-49DD-9E37-666AA1D97C81}"/>
    <hyperlink ref="AB41" r:id="rId117" xr:uid="{D15240C8-B5CF-4C64-8455-D510C1BDBE08}"/>
    <hyperlink ref="G42" r:id="rId118" xr:uid="{2F34894D-A66A-4407-AAA7-98078C23E330}"/>
    <hyperlink ref="H42" r:id="rId119" xr:uid="{E7D3975E-3472-46C2-995B-A84A5F5FBAD1}"/>
    <hyperlink ref="AB42" r:id="rId120" xr:uid="{289016A8-99B0-4DC5-AC55-4E4246D16A42}"/>
    <hyperlink ref="G43" r:id="rId121" xr:uid="{A5E3192B-5A95-4D58-B6C0-792F3072429F}"/>
    <hyperlink ref="AB43" r:id="rId122" xr:uid="{19790C89-3036-4722-9BAB-97F5FF15B76C}"/>
    <hyperlink ref="G44" r:id="rId123" xr:uid="{BCD48963-2B3F-47B1-B9A5-E0C693642CAE}"/>
    <hyperlink ref="H44" r:id="rId124" xr:uid="{4CD38CB0-8BB7-4E63-9D04-5699CD77F6A8}"/>
    <hyperlink ref="AB44" r:id="rId125" xr:uid="{700C4502-7316-4E0B-B26E-30EC1E121F0E}"/>
    <hyperlink ref="G45" r:id="rId126" xr:uid="{DBCD9E87-3271-46BA-AB93-7E5616DF2DBC}"/>
    <hyperlink ref="H45" r:id="rId127" xr:uid="{C5059198-5488-4D84-85D1-92F4DBF3B1CA}"/>
    <hyperlink ref="H46" r:id="rId128" xr:uid="{190EFE36-5C3A-4229-9D22-99270464C671}"/>
    <hyperlink ref="G46" r:id="rId129" xr:uid="{3F3D2ECE-FC96-4C3C-8484-B1CD87D7131D}"/>
    <hyperlink ref="AB45" r:id="rId130" xr:uid="{B18E543D-D705-440B-BE4D-6E6DBD1866E5}"/>
    <hyperlink ref="AB46" r:id="rId131" xr:uid="{F32FA591-EACB-4E65-AA63-2F4A3EBAF1AE}"/>
    <hyperlink ref="G47" r:id="rId132" xr:uid="{81E53796-1C0C-4002-81BD-D4ACCC26F8CB}"/>
    <hyperlink ref="AB47" r:id="rId133" xr:uid="{2D01B86A-8FD4-4901-88E6-5CC7E7BDC5DD}"/>
    <hyperlink ref="G48" r:id="rId134" xr:uid="{92B2061E-42DD-4F09-9382-67E745DEED05}"/>
    <hyperlink ref="G49" r:id="rId135" xr:uid="{C9054B58-33A9-4294-A23A-B5642FC89142}"/>
    <hyperlink ref="H48" r:id="rId136" xr:uid="{A59FB984-8662-4201-A2BD-C011D6F053F4}"/>
    <hyperlink ref="H49" r:id="rId137" xr:uid="{09872293-2E8A-486C-8E2B-95CC28DFCC9A}"/>
    <hyperlink ref="AB48" r:id="rId138" xr:uid="{96B0DFC7-3E37-4011-86C8-F4B5EDD51B7B}"/>
    <hyperlink ref="AB49" r:id="rId139" xr:uid="{958745ED-6CE3-4053-87F8-F9FBE7EAFF26}"/>
    <hyperlink ref="H50" r:id="rId140" xr:uid="{D6C55EF6-FF45-4195-9AE9-7070126FD3D8}"/>
    <hyperlink ref="G50" r:id="rId141" xr:uid="{5F969799-6338-4D42-BD3F-1A54743989B7}"/>
    <hyperlink ref="AB50" r:id="rId142" xr:uid="{CF969790-2BBA-4EA2-ACEF-1ABA30E0F29B}"/>
    <hyperlink ref="H47" r:id="rId143" xr:uid="{7932D550-1BD8-416F-95AE-66089C7C93E0}"/>
    <hyperlink ref="G51" r:id="rId144" xr:uid="{AC3B2E75-E320-43BA-ADA0-20C0C63FAC97}"/>
    <hyperlink ref="H51" r:id="rId145" xr:uid="{AB0EACE2-3C69-4370-BC0E-78B817119960}"/>
    <hyperlink ref="AB51" r:id="rId146" xr:uid="{93541740-E257-4DD0-9B8E-FB93A325DD74}"/>
    <hyperlink ref="H52" r:id="rId147" xr:uid="{47A514C4-F304-46F4-BE30-F6A271F30223}"/>
    <hyperlink ref="AB52" r:id="rId148" xr:uid="{A2304DED-E083-46E2-92D7-57E924CA8126}"/>
    <hyperlink ref="G53" r:id="rId149" xr:uid="{FD163FF4-0A65-4BFD-BC20-925152CAB551}"/>
    <hyperlink ref="G52" r:id="rId150" xr:uid="{3C45A219-3DE0-435A-BCA3-90096D961A83}"/>
    <hyperlink ref="H53" r:id="rId151" xr:uid="{B9763267-1393-4761-AB80-6F281E252D87}"/>
    <hyperlink ref="AB53" r:id="rId152" xr:uid="{754C802F-081E-4E32-9CC7-2E226D27CF6D}"/>
    <hyperlink ref="G54" r:id="rId153" xr:uid="{F5B260BA-77EF-4D2D-BA30-939B4FCAE57B}"/>
    <hyperlink ref="H54" r:id="rId154" xr:uid="{F850FE63-8CA6-4DC7-8BC2-F6DEAA3CE6F6}"/>
    <hyperlink ref="AB54" r:id="rId155" xr:uid="{0CDADE82-3CB4-4ADC-92F5-FE6139CB586C}"/>
    <hyperlink ref="G55" r:id="rId156" xr:uid="{2E7FD3AC-0981-48BA-B0B9-3221A0ABFEA4}"/>
    <hyperlink ref="H55" r:id="rId157" xr:uid="{1C2FDD70-CB29-417B-B93F-C96DE24DF451}"/>
    <hyperlink ref="AB55" r:id="rId158" xr:uid="{BF93A71E-315C-43E9-A51B-98EFDA59E42B}"/>
    <hyperlink ref="G56:G58" r:id="rId159" display="https://bazaar.abuse.ch/download/91a8ac9cef373cd162c9fdf57f08fcd890c52c38313264d1713eba257e554441/" xr:uid="{008B5723-6BDB-46F5-A9B7-5252ADA43D40}"/>
    <hyperlink ref="G56" r:id="rId160" xr:uid="{38A5E73C-105F-4B33-AC1A-650FA8C6278D}"/>
    <hyperlink ref="H56" r:id="rId161" xr:uid="{D7BAA533-1F16-4C8F-826E-8C72F4B6D4FB}"/>
    <hyperlink ref="AB56" r:id="rId162" xr:uid="{F787C9D6-DBB2-4827-BBDC-FD47BBC2926D}"/>
    <hyperlink ref="G57" r:id="rId163" xr:uid="{6CDC1C46-1CCB-4DB1-BA50-A467078C0627}"/>
    <hyperlink ref="H57" r:id="rId164" xr:uid="{5786EF6F-60D5-48CA-9E3B-E0A3617621B7}"/>
    <hyperlink ref="AB57" r:id="rId165" xr:uid="{04CFDB46-8330-4002-8BE0-DCBFECCE2F1E}"/>
    <hyperlink ref="G58" r:id="rId166" xr:uid="{AD827760-54B6-49A3-B12C-42FA0B6C9B5B}"/>
    <hyperlink ref="H58" r:id="rId167" xr:uid="{997F4946-D6EC-4F7E-88C5-256893CA917B}"/>
    <hyperlink ref="AB58" r:id="rId168" xr:uid="{BE41CD69-3FEB-4D0E-ACD2-B6CFE8E7C7FD}"/>
    <hyperlink ref="G59:G62" r:id="rId169" display="https://bazaar.abuse.ch/download/91a8ac9cef373cd162c9fdf57f08fcd890c52c38313264d1713eba257e554441/" xr:uid="{F7DC0B2A-88AC-4C14-BCDA-580FDCB8DCE1}"/>
    <hyperlink ref="G59" r:id="rId170" xr:uid="{AFC8B76D-1CDD-4E64-A73E-E3E66ABDFE1B}"/>
    <hyperlink ref="H59" r:id="rId171" xr:uid="{C4A53D92-4639-48E2-AF89-B45EAA9B2397}"/>
    <hyperlink ref="AB59" r:id="rId172" xr:uid="{521C84BB-6C9C-4DFA-A341-0F320C897AAB}"/>
    <hyperlink ref="G60" r:id="rId173" xr:uid="{D3F11B82-C4B8-4E36-A2DB-30E8384842A6}"/>
    <hyperlink ref="H60" r:id="rId174" xr:uid="{44889C3F-3BE4-4D62-B19B-E9025577DDAA}"/>
    <hyperlink ref="AB60" r:id="rId175" xr:uid="{111553B3-2A2E-4AC6-980A-56FFE5B25FEF}"/>
    <hyperlink ref="G61" r:id="rId176" xr:uid="{73F3D099-841E-4ACB-8B9F-689E575D7F52}"/>
    <hyperlink ref="H61" r:id="rId177" xr:uid="{2020578A-705F-48F6-AD32-5C7159385C84}"/>
    <hyperlink ref="AB61" r:id="rId178" xr:uid="{FA626A0E-981E-451C-BEAA-D0199583D75B}"/>
    <hyperlink ref="G62" r:id="rId179" xr:uid="{FE8970FD-2017-4D61-A5A8-648722FD4B4B}"/>
    <hyperlink ref="H62" r:id="rId180" xr:uid="{C82E063A-12B3-433A-83FE-8A3D36CA2BBD}"/>
    <hyperlink ref="AB62" r:id="rId181" xr:uid="{54261512-1C63-4A01-B5B9-F9E3A5E554F8}"/>
    <hyperlink ref="G63" r:id="rId182" xr:uid="{47172CB5-0198-4BC0-A1CA-F3E199C64B15}"/>
    <hyperlink ref="H63" r:id="rId183" xr:uid="{5C4DF095-103A-4EE2-B9C8-681CE2CC22C0}"/>
    <hyperlink ref="AB63" r:id="rId184" xr:uid="{3E54215C-2EEE-4F26-A33D-496CC7B40421}"/>
    <hyperlink ref="G64" r:id="rId185" xr:uid="{F93BD065-7327-45DC-BBF9-B98B7FF1CBEC}"/>
    <hyperlink ref="H64" r:id="rId186" xr:uid="{7002D887-A777-42FA-B7A6-A5D3F743C266}"/>
    <hyperlink ref="G65" r:id="rId187" xr:uid="{AB301533-818D-4DA1-B648-BBB0723FE831}"/>
    <hyperlink ref="H65" r:id="rId188" xr:uid="{1A47CA91-A92B-4B39-A312-84CE9DEB7271}"/>
    <hyperlink ref="AB64" r:id="rId189" xr:uid="{3FA4DF0C-CAF2-41FD-9BCE-81B70C4A41A0}"/>
    <hyperlink ref="AB65" r:id="rId190" xr:uid="{D8A38C9F-A3D4-45B9-B170-489E4DDEFB8D}"/>
    <hyperlink ref="G66" r:id="rId191" xr:uid="{5B88E0BA-035A-4BAB-AC93-F404670A9EE0}"/>
    <hyperlink ref="H66" r:id="rId192" xr:uid="{030B0A4A-2FDD-4951-8CCD-24E35A43B33A}"/>
    <hyperlink ref="AB66" r:id="rId193" xr:uid="{8361794E-3D40-4837-916A-3A370E6BE598}"/>
    <hyperlink ref="G67" r:id="rId194" display="http://bazaar.abuse.ch/browse/signature/Mirai/" xr:uid="{F2909AF8-5DFD-4190-A405-3CE7375EE7AD}"/>
    <hyperlink ref="H67" r:id="rId195" display="https://www.virustotal.com/gui/file/03d4a5f4f903bb4d9aae92a06af6ce0128daeaa1847b01fdb8d0e08d9922b9f5/details" xr:uid="{29440D9C-F280-4359-805E-0B0E940604CA}"/>
    <hyperlink ref="G68" r:id="rId196" xr:uid="{103C16B2-5AEA-459A-8030-047F04E216FD}"/>
    <hyperlink ref="H68" r:id="rId197" xr:uid="{B66A34BD-FC61-433A-AA4C-A4109C85E810}"/>
    <hyperlink ref="AA68" r:id="rId198" display="https://www.cve.org/CVERecord?id=CVE-2024-7029" xr:uid="{E4C12866-5136-4223-8037-2DE86E99B54C}"/>
    <hyperlink ref="AB68" r:id="rId199" xr:uid="{6208F518-D146-4379-87DD-E775F157EB1C}"/>
    <hyperlink ref="G69" r:id="rId200" xr:uid="{202D81A8-B9C1-48E2-806D-F8F5745E5FE4}"/>
    <hyperlink ref="H69" r:id="rId201" xr:uid="{30C96978-FA52-48CE-BF32-4936869ACFFD}"/>
    <hyperlink ref="AB69" r:id="rId202" xr:uid="{810A17DC-0038-49B9-964D-7E41BA1AE2EC}"/>
    <hyperlink ref="G70" r:id="rId203" xr:uid="{C14AE6FE-FFB1-4699-947B-7646CB3F6E8D}"/>
    <hyperlink ref="H70" r:id="rId204" xr:uid="{11ADE70D-F37F-4E19-8601-C10FE1CB5831}"/>
    <hyperlink ref="AB70" r:id="rId205" xr:uid="{443AFADF-7378-4640-9D63-9C25AF5BF6BF}"/>
    <hyperlink ref="G71" r:id="rId206" xr:uid="{BEAFEF59-E2FA-42B0-9D2D-9FBB1BCB02D1}"/>
    <hyperlink ref="H71" r:id="rId207" xr:uid="{7640A662-BC13-42D8-B98B-1C11FE25E8B9}"/>
    <hyperlink ref="AB71" r:id="rId208" xr:uid="{A48A0B6E-3EFE-4BEB-A0C0-86E99FB46D6D}"/>
    <hyperlink ref="G72" r:id="rId209" xr:uid="{2E3EE7A7-66C7-4B5B-9F01-1EF7199F9784}"/>
    <hyperlink ref="H72" r:id="rId210" xr:uid="{F9A29DB4-B925-43A3-A24E-A50BBE5F2397}"/>
    <hyperlink ref="AB72" r:id="rId211" xr:uid="{FB29EA55-C1BB-42D9-BD74-5B1641F179F9}"/>
    <hyperlink ref="G73" r:id="rId212" xr:uid="{EAF81D9C-271B-4C79-A020-2C4272C6AE24}"/>
    <hyperlink ref="H73" r:id="rId213" xr:uid="{7894E7D3-AD90-42EF-9D1D-D90C27596DF1}"/>
    <hyperlink ref="AB73" r:id="rId214" xr:uid="{B17CFCD2-CF72-4229-AAE4-2D34650EE8DD}"/>
    <hyperlink ref="G74" r:id="rId215" xr:uid="{FCA3AEA4-45D7-4DD6-9640-8FB13DCB99EA}"/>
    <hyperlink ref="H74" r:id="rId216" xr:uid="{73295814-524D-4B34-9E51-5F2C0B5CCDF1}"/>
    <hyperlink ref="AB74" r:id="rId217" xr:uid="{644D8083-44EF-4857-BE78-6D6CDCAFD02F}"/>
    <hyperlink ref="G75" r:id="rId218" xr:uid="{CE43C7B8-0A24-4F86-9EE8-7BCAF59D0C57}"/>
    <hyperlink ref="H75" r:id="rId219" xr:uid="{2A028302-61C4-4219-A858-0775365051C6}"/>
    <hyperlink ref="AB75" r:id="rId220" xr:uid="{B6FE3BBF-CAEB-4CBE-9436-4C5C685FD4DF}"/>
    <hyperlink ref="G76" r:id="rId221" xr:uid="{E18BF825-AAD9-464F-91C3-A31557024A4A}"/>
    <hyperlink ref="H76" r:id="rId222" xr:uid="{CDC17CC2-A0F2-4048-8C6B-E62D5657695B}"/>
    <hyperlink ref="AB76" r:id="rId223" xr:uid="{BEC075BB-1426-42FA-A8CC-46A2A00B9A84}"/>
    <hyperlink ref="G77" r:id="rId224" xr:uid="{90EF5C82-C735-4712-97FC-9CCBF6569D94}"/>
    <hyperlink ref="H77" r:id="rId225" xr:uid="{01DCE79A-E270-4590-B341-0D14ECEF87D1}"/>
    <hyperlink ref="AB77" r:id="rId226" xr:uid="{10BA9DD7-087D-4E5F-90F6-5ED5FA00B844}"/>
    <hyperlink ref="G78:G95" r:id="rId227" display="https://virusshare.com/apiv2/download?apikey=AyBZnvviVMkKJ8vOU4LJl7GmG5A0jQ75&amp;hash=6a126d8e49ffb9e6a25eb5f2841a8eee4b31f71bc7b46ca25c90b4eaf61cf262" xr:uid="{E64FF0BA-F6E9-4261-97F4-32725ACB261A}"/>
    <hyperlink ref="G78" r:id="rId228" xr:uid="{B972EA4B-01EE-45CA-929D-363D953B57C9}"/>
    <hyperlink ref="H78" r:id="rId229" xr:uid="{1B4430F6-38A6-434D-9624-8049375EBB86}"/>
    <hyperlink ref="AB78" r:id="rId230" xr:uid="{B172758F-EFD2-4567-ADB0-FDE4EA208E7F}"/>
    <hyperlink ref="G79" r:id="rId231" xr:uid="{2B78332B-D549-41F3-B0A2-CCB9E8DDFFB5}"/>
    <hyperlink ref="H79" r:id="rId232" xr:uid="{684F9C4E-C5B8-465F-B432-5EEA753EECB7}"/>
    <hyperlink ref="AB79" r:id="rId233" xr:uid="{F9B99F42-F64C-4F90-BF41-56CBF26E6386}"/>
    <hyperlink ref="G80" r:id="rId234" xr:uid="{019BBE72-A349-4738-947D-099C9D4ABCEA}"/>
    <hyperlink ref="H80" r:id="rId235" xr:uid="{33F15999-15E8-43BB-B162-6DF81BD34296}"/>
    <hyperlink ref="AB80" r:id="rId236" xr:uid="{88F9F26B-23AD-445A-9BD6-41D58801BC5E}"/>
    <hyperlink ref="G81" r:id="rId237" xr:uid="{E19CCF22-6C5E-4861-9178-F590BE430E9D}"/>
    <hyperlink ref="H81" r:id="rId238" xr:uid="{ABA1DCBD-627E-4EAA-9AC8-00B8C0508AD6}"/>
    <hyperlink ref="AB81" r:id="rId239" xr:uid="{2D6D4D4A-5886-4FC2-9E7B-AB38EAF493DA}"/>
    <hyperlink ref="G82" r:id="rId240" xr:uid="{84AA40DA-70BA-48CE-B604-3FBB32909FFB}"/>
    <hyperlink ref="H82" r:id="rId241" xr:uid="{465326CC-9405-4242-833F-B9B22A0FD716}"/>
    <hyperlink ref="AB82" r:id="rId242" xr:uid="{F3C118A3-87EF-41C7-804B-00DCB192D776}"/>
    <hyperlink ref="G83" r:id="rId243" xr:uid="{79555272-E999-4AC5-AD76-C87097F5DB35}"/>
    <hyperlink ref="H83" r:id="rId244" xr:uid="{B3E6B491-09AC-4F59-AF1D-73151ECAA4E2}"/>
    <hyperlink ref="AB83" r:id="rId245" xr:uid="{8C017F25-92EA-47F1-B317-9C6DE0FEE785}"/>
    <hyperlink ref="G84" r:id="rId246" xr:uid="{61BE11FF-739F-4A0E-B2EA-D88DAC01F160}"/>
    <hyperlink ref="H84" r:id="rId247" xr:uid="{B2587C50-6C93-4962-AF57-7117F843F941}"/>
    <hyperlink ref="G85" r:id="rId248" xr:uid="{90E28A69-ED71-4666-9C28-AF5F7F9804EE}"/>
    <hyperlink ref="H85" r:id="rId249" xr:uid="{BD2FA766-5AC9-44D2-AD33-37D72797CEE8}"/>
    <hyperlink ref="AB85" r:id="rId250" xr:uid="{579F5F11-DE9C-4728-9CBD-BD613324233E}"/>
    <hyperlink ref="G86" r:id="rId251" xr:uid="{3E9F2657-F864-4927-990B-6B179088B109}"/>
    <hyperlink ref="H86" r:id="rId252" xr:uid="{17629C35-E0A5-4E1F-B2F4-0797DB06538A}"/>
    <hyperlink ref="AB86" r:id="rId253" xr:uid="{40F8D4A1-F2A0-49F9-BC72-D21176948D06}"/>
    <hyperlink ref="G87" r:id="rId254" xr:uid="{E8A2F240-2FCE-42EE-8012-7CAF0D4FE8FA}"/>
    <hyperlink ref="H87" r:id="rId255" xr:uid="{731C8B1D-A73C-420E-A8D7-092B3D74A746}"/>
    <hyperlink ref="AB87" r:id="rId256" xr:uid="{D846DFA7-DCC0-4FD5-97EE-A4E02BFBC5E5}"/>
    <hyperlink ref="G88" r:id="rId257" xr:uid="{A396D8BE-7C33-4941-B119-26A78C18DDF1}"/>
    <hyperlink ref="H88" r:id="rId258" xr:uid="{D13BDCB2-C475-4C4A-BCFB-A42728AE681D}"/>
    <hyperlink ref="AB88" r:id="rId259" xr:uid="{E3026598-C517-42CB-B290-112FD7F7CFFF}"/>
    <hyperlink ref="G89" r:id="rId260" xr:uid="{249FED2E-A283-4D8F-82A4-B51EB1D8394F}"/>
    <hyperlink ref="H89" r:id="rId261" xr:uid="{FA08F466-9CAC-41BC-BDFE-D4BF26A91708}"/>
    <hyperlink ref="AB89" r:id="rId262" xr:uid="{754BD029-1F48-408A-918F-59A80A9DB601}"/>
    <hyperlink ref="G90" r:id="rId263" xr:uid="{97DC92F2-A5A6-4E27-914D-286156DEFFE4}"/>
    <hyperlink ref="H90" r:id="rId264" display="https://www.virustotal.com/gui/file/d8271d16880859851013aa76c7487cc7a85d312b51f76c56cfc719ad0b36d4bf" xr:uid="{C5F1EF31-5158-4F7A-953A-2A44E113D5A5}"/>
    <hyperlink ref="AB90" r:id="rId265" xr:uid="{A0BD1CFF-41AE-4160-B850-6A409014A31E}"/>
    <hyperlink ref="G91" r:id="rId266" xr:uid="{32E52BDF-CAD7-4188-BE48-B23C392ECFE7}"/>
    <hyperlink ref="H91" r:id="rId267" xr:uid="{9781DC84-8130-4FAE-9CB0-92C4C8B463B1}"/>
    <hyperlink ref="AB91" r:id="rId268" xr:uid="{4DE945CC-7209-4A59-A7FA-86C57621AAFC}"/>
    <hyperlink ref="G92" r:id="rId269" xr:uid="{F55EFA23-8CD6-4B9B-B622-64B2185FF148}"/>
    <hyperlink ref="H92" r:id="rId270" xr:uid="{EFF6C448-053E-4F09-860B-03395AE3E954}"/>
    <hyperlink ref="AB92" r:id="rId271" xr:uid="{A6F6A92F-752E-4061-B384-7A4B77C2B197}"/>
    <hyperlink ref="G93" r:id="rId272" xr:uid="{E1140233-80BC-4C41-8862-0D2CDF437D53}"/>
    <hyperlink ref="H93" r:id="rId273" display="https://www.virustotal.com/gui/file/a13d5a3c879cbe24378b88c7b93f94dc07fcf37222d53146bd0fb39cb5bd0ef9" xr:uid="{F8BB209C-9C44-4F64-8C69-623A1B94461A}"/>
    <hyperlink ref="AB93" r:id="rId274" xr:uid="{B043D24B-E236-47CC-A9A5-4150E808F974}"/>
    <hyperlink ref="G94" r:id="rId275" xr:uid="{08D9A609-4A97-4730-8B37-E240CC9D236C}"/>
    <hyperlink ref="H94" r:id="rId276" xr:uid="{9D9E4196-302A-49C4-BBAA-EC95B90F824C}"/>
    <hyperlink ref="AB94" r:id="rId277" xr:uid="{CC65CE0A-9EA1-4770-B8C5-3FBD02792F56}"/>
    <hyperlink ref="G95" r:id="rId278" xr:uid="{C0B2B208-9FAD-4EC7-962F-C87ECDA8DDF9}"/>
    <hyperlink ref="H95" r:id="rId279" xr:uid="{3164E8EF-293E-45CC-80FD-E8762B8F5535}"/>
    <hyperlink ref="AB95" r:id="rId280" xr:uid="{2C3BCB82-BD26-4A1F-BA73-E34C67A58AA4}"/>
    <hyperlink ref="G96" r:id="rId281" xr:uid="{04518470-C0EB-4535-97F8-44701C4F0A0A}"/>
    <hyperlink ref="H96" r:id="rId282" xr:uid="{6596ED99-5CF7-4682-982D-B09902E1CD48}"/>
    <hyperlink ref="AB96" r:id="rId283" xr:uid="{2E270D30-7C5F-4931-8D6D-798E69102D07}"/>
    <hyperlink ref="G97" r:id="rId284" xr:uid="{947E4781-35FD-472A-9B72-13F12F9F9D51}"/>
    <hyperlink ref="H97" r:id="rId285" xr:uid="{E0920D5F-C479-402F-B1D2-45506D1B65FA}"/>
    <hyperlink ref="AB97" r:id="rId286" xr:uid="{6B9A32F8-3FBA-45AF-8E7A-02FFEDD7B791}"/>
    <hyperlink ref="G98" r:id="rId287" xr:uid="{1999E835-57CA-48CA-8B78-4136F6D31694}"/>
    <hyperlink ref="H98" r:id="rId288" xr:uid="{B5B0FE1E-CAC8-4B58-B283-8FA097E84AC0}"/>
    <hyperlink ref="AB98" r:id="rId289" xr:uid="{F2069E46-759D-405A-AD1B-EB6B4BCF330E}"/>
    <hyperlink ref="G99" r:id="rId290" xr:uid="{15AB5EEA-DAC6-405F-AA9F-26FBDF7F6ADF}"/>
    <hyperlink ref="H99" r:id="rId291" xr:uid="{F78A6582-4EFA-49F7-89CA-DCADCCE07BFB}"/>
    <hyperlink ref="AB99" r:id="rId292" xr:uid="{54D1DD2D-15F2-4E08-A07C-713E1784A766}"/>
    <hyperlink ref="G100" r:id="rId293" xr:uid="{174B2B66-9E7F-48D2-BE00-9D82005E6F72}"/>
    <hyperlink ref="H100" r:id="rId294" xr:uid="{0FA9A320-20F9-4B8D-95DD-316DCD8A411F}"/>
    <hyperlink ref="AB100" r:id="rId295" xr:uid="{0DC841A2-C42B-4941-8BF0-97A1135350F4}"/>
    <hyperlink ref="G101" r:id="rId296" xr:uid="{0DAA1CB5-131C-41EF-BF9D-1AFACB10F7AF}"/>
    <hyperlink ref="H101" r:id="rId297" xr:uid="{627D4FBB-A359-42CF-BA86-081192C95434}"/>
    <hyperlink ref="AB101" r:id="rId298" xr:uid="{5C7C7A1B-162F-4C8A-AE18-E630CFD77DB5}"/>
    <hyperlink ref="G102" r:id="rId299" xr:uid="{25FE9F25-FEBE-4556-80D6-39854DB588C0}"/>
    <hyperlink ref="H102" r:id="rId300" xr:uid="{18A81581-1DC5-401B-BD3F-5E97C363FFC7}"/>
    <hyperlink ref="AB102" r:id="rId301" xr:uid="{9F8271DA-3E91-4EF5-AAFE-D3683789BA3F}"/>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Muestras Botnets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Rey Nathan Sanchez Zamora</cp:lastModifiedBy>
  <dcterms:created xsi:type="dcterms:W3CDTF">2026-06-16T19:16:17Z</dcterms:created>
  <dcterms:modified xsi:type="dcterms:W3CDTF">2026-06-18T18:14:32Z</dcterms:modified>
</cp:coreProperties>
</file>